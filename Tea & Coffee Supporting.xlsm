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/>
  <workbookPr/>
  <mc:AlternateContent xmlns:mc="http://schemas.openxmlformats.org/markup-compatibility/2006">
    <mc:Choice Requires="x15">
      <x15ac:absPath xmlns:x15ac="http://schemas.microsoft.com/office/spreadsheetml/2010/11/ac" url="C:\Users\Admin\Desktop\Project Submition\"/>
    </mc:Choice>
  </mc:AlternateContent>
  <xr:revisionPtr revIDLastSave="0" documentId="13_ncr:1_{23E0A407-A926-4775-BFEE-14D1E995C19B}" xr6:coauthVersionLast="47" xr6:coauthVersionMax="47" xr10:uidLastSave="{00000000-0000-0000-0000-000000000000}"/>
  <bookViews>
    <workbookView xWindow="20280" yWindow="-120" windowWidth="19440" windowHeight="14880" xr2:uid="{00000000-000D-0000-FFFF-FFFF00000000}"/>
  </bookViews>
  <sheets>
    <sheet name="DashBoard" sheetId="2" r:id="rId1"/>
    <sheet name="Monthly Data" sheetId="1" r:id="rId2"/>
    <sheet name="Validation" sheetId="4" r:id="rId3"/>
    <sheet name="Daily Data" sheetId="3" r:id="rId4"/>
    <sheet name="Pivrot Chat" sheetId="6" r:id="rId5"/>
  </sheets>
  <definedNames>
    <definedName name="_xlnm._FilterDatabase" localSheetId="3" hidden="1">'Daily Data'!$A$1:$G$1206</definedName>
    <definedName name="_xlnm._FilterDatabase" localSheetId="1" hidden="1">'Monthly Data'!$A$1:$O$74</definedName>
    <definedName name="_xlnm.Print_Area" localSheetId="0">DashBoard!$A$1:$AK$55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206" i="3" l="1"/>
  <c r="G1205" i="3"/>
  <c r="G1204" i="3"/>
  <c r="G1203" i="3"/>
  <c r="G1202" i="3"/>
  <c r="G1201" i="3"/>
  <c r="G1200" i="3"/>
  <c r="G1199" i="3"/>
  <c r="G1198" i="3"/>
  <c r="G1197" i="3"/>
  <c r="G1196" i="3"/>
  <c r="G1195" i="3"/>
  <c r="G1194" i="3"/>
  <c r="G1193" i="3"/>
  <c r="G1192" i="3"/>
  <c r="G1191" i="3"/>
  <c r="G1190" i="3"/>
  <c r="G1189" i="3"/>
  <c r="G1188" i="3"/>
  <c r="G1187" i="3"/>
  <c r="G1186" i="3"/>
  <c r="G1185" i="3"/>
  <c r="G1184" i="3"/>
  <c r="G1183" i="3"/>
  <c r="G1182" i="3"/>
  <c r="G1181" i="3"/>
  <c r="G1180" i="3"/>
  <c r="G1179" i="3"/>
  <c r="G1178" i="3"/>
  <c r="G1177" i="3"/>
  <c r="G1176" i="3"/>
  <c r="G1175" i="3"/>
  <c r="G1174" i="3"/>
  <c r="G1173" i="3"/>
  <c r="G1172" i="3"/>
  <c r="G1171" i="3"/>
  <c r="G1170" i="3"/>
  <c r="G1169" i="3"/>
  <c r="G1168" i="3"/>
  <c r="G1167" i="3"/>
  <c r="G1166" i="3"/>
  <c r="G1165" i="3"/>
  <c r="G1164" i="3"/>
  <c r="G1163" i="3"/>
  <c r="G1162" i="3"/>
  <c r="G1161" i="3"/>
  <c r="G1160" i="3"/>
  <c r="G1159" i="3"/>
  <c r="G1158" i="3"/>
  <c r="G1157" i="3"/>
  <c r="G1156" i="3"/>
  <c r="G1155" i="3"/>
  <c r="G1154" i="3"/>
  <c r="G1153" i="3"/>
  <c r="G1152" i="3"/>
  <c r="G1151" i="3"/>
  <c r="G1150" i="3"/>
  <c r="G1149" i="3"/>
  <c r="G1148" i="3"/>
  <c r="G1147" i="3"/>
  <c r="G1146" i="3"/>
  <c r="G1145" i="3"/>
  <c r="G1144" i="3" l="1"/>
  <c r="G6" i="3"/>
  <c r="G3" i="3"/>
  <c r="G4" i="3"/>
  <c r="G5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G940" i="3"/>
  <c r="G941" i="3"/>
  <c r="G942" i="3"/>
  <c r="G943" i="3"/>
  <c r="G944" i="3"/>
  <c r="G945" i="3"/>
  <c r="G946" i="3"/>
  <c r="G947" i="3"/>
  <c r="G948" i="3"/>
  <c r="G949" i="3"/>
  <c r="G950" i="3"/>
  <c r="G951" i="3"/>
  <c r="G952" i="3"/>
  <c r="G953" i="3"/>
  <c r="G954" i="3"/>
  <c r="G955" i="3"/>
  <c r="G956" i="3"/>
  <c r="G957" i="3"/>
  <c r="G958" i="3"/>
  <c r="G959" i="3"/>
  <c r="G960" i="3"/>
  <c r="G961" i="3"/>
  <c r="G962" i="3"/>
  <c r="G963" i="3"/>
  <c r="G964" i="3"/>
  <c r="G965" i="3"/>
  <c r="G966" i="3"/>
  <c r="G967" i="3"/>
  <c r="G968" i="3"/>
  <c r="G969" i="3"/>
  <c r="G970" i="3"/>
  <c r="G971" i="3"/>
  <c r="G972" i="3"/>
  <c r="G973" i="3"/>
  <c r="G974" i="3"/>
  <c r="G975" i="3"/>
  <c r="G976" i="3"/>
  <c r="G977" i="3"/>
  <c r="G978" i="3"/>
  <c r="G979" i="3"/>
  <c r="G980" i="3"/>
  <c r="G981" i="3"/>
  <c r="G982" i="3"/>
  <c r="G983" i="3"/>
  <c r="G984" i="3"/>
  <c r="G985" i="3"/>
  <c r="G986" i="3"/>
  <c r="G987" i="3"/>
  <c r="G988" i="3"/>
  <c r="G989" i="3"/>
  <c r="G990" i="3"/>
  <c r="G991" i="3"/>
  <c r="G992" i="3"/>
  <c r="G993" i="3"/>
  <c r="G994" i="3"/>
  <c r="G995" i="3"/>
  <c r="G996" i="3"/>
  <c r="G997" i="3"/>
  <c r="G998" i="3"/>
  <c r="G999" i="3"/>
  <c r="G1000" i="3"/>
  <c r="G1001" i="3"/>
  <c r="G1002" i="3"/>
  <c r="G1003" i="3"/>
  <c r="G1004" i="3"/>
  <c r="G1005" i="3"/>
  <c r="G1006" i="3"/>
  <c r="G1007" i="3"/>
  <c r="G1008" i="3"/>
  <c r="G1009" i="3"/>
  <c r="G1010" i="3"/>
  <c r="G1011" i="3"/>
  <c r="G1012" i="3"/>
  <c r="G1013" i="3"/>
  <c r="G1014" i="3"/>
  <c r="G1015" i="3"/>
  <c r="G1016" i="3"/>
  <c r="G1017" i="3"/>
  <c r="G1018" i="3"/>
  <c r="G1019" i="3"/>
  <c r="G1020" i="3"/>
  <c r="G1021" i="3"/>
  <c r="G1022" i="3"/>
  <c r="G1023" i="3"/>
  <c r="G1024" i="3"/>
  <c r="G1025" i="3"/>
  <c r="G1026" i="3"/>
  <c r="G1027" i="3"/>
  <c r="G1028" i="3"/>
  <c r="G1029" i="3"/>
  <c r="G1030" i="3"/>
  <c r="G1031" i="3"/>
  <c r="G1032" i="3"/>
  <c r="G1033" i="3"/>
  <c r="G1034" i="3"/>
  <c r="G1035" i="3"/>
  <c r="G1036" i="3"/>
  <c r="G1037" i="3"/>
  <c r="G1038" i="3"/>
  <c r="G1039" i="3"/>
  <c r="G1040" i="3"/>
  <c r="G1041" i="3"/>
  <c r="G1042" i="3"/>
  <c r="G1043" i="3"/>
  <c r="G1044" i="3"/>
  <c r="G1045" i="3"/>
  <c r="G1046" i="3"/>
  <c r="G1047" i="3"/>
  <c r="G1048" i="3"/>
  <c r="G1049" i="3"/>
  <c r="G1050" i="3"/>
  <c r="G1051" i="3"/>
  <c r="G1052" i="3"/>
  <c r="G1053" i="3"/>
  <c r="G1054" i="3"/>
  <c r="G1055" i="3"/>
  <c r="G1056" i="3"/>
  <c r="G1057" i="3"/>
  <c r="G1058" i="3"/>
  <c r="G1059" i="3"/>
  <c r="G1060" i="3"/>
  <c r="G1061" i="3"/>
  <c r="G1062" i="3"/>
  <c r="G1063" i="3"/>
  <c r="G1064" i="3"/>
  <c r="G1065" i="3"/>
  <c r="G1066" i="3"/>
  <c r="G1067" i="3"/>
  <c r="G1068" i="3"/>
  <c r="G1069" i="3"/>
  <c r="G1070" i="3"/>
  <c r="G1071" i="3"/>
  <c r="G1072" i="3"/>
  <c r="G1073" i="3"/>
  <c r="G1074" i="3"/>
  <c r="G1075" i="3"/>
  <c r="G1076" i="3"/>
  <c r="G1077" i="3"/>
  <c r="G1078" i="3"/>
  <c r="G1079" i="3"/>
  <c r="G1080" i="3"/>
  <c r="G1081" i="3"/>
  <c r="G1082" i="3"/>
  <c r="G1083" i="3"/>
  <c r="G1084" i="3"/>
  <c r="G1085" i="3"/>
  <c r="G1086" i="3"/>
  <c r="G1087" i="3"/>
  <c r="G1088" i="3"/>
  <c r="G1089" i="3"/>
  <c r="G1090" i="3"/>
  <c r="G1091" i="3"/>
  <c r="G1092" i="3"/>
  <c r="G1093" i="3"/>
  <c r="G1094" i="3"/>
  <c r="G1095" i="3"/>
  <c r="G1096" i="3"/>
  <c r="G1097" i="3"/>
  <c r="G1098" i="3"/>
  <c r="G1099" i="3"/>
  <c r="G1100" i="3"/>
  <c r="G1101" i="3"/>
  <c r="G1102" i="3"/>
  <c r="G1103" i="3"/>
  <c r="G1104" i="3"/>
  <c r="G1105" i="3"/>
  <c r="G1106" i="3"/>
  <c r="G1107" i="3"/>
  <c r="G1108" i="3"/>
  <c r="G1109" i="3"/>
  <c r="G1110" i="3"/>
  <c r="G1111" i="3"/>
  <c r="G1112" i="3"/>
  <c r="G1113" i="3"/>
  <c r="G1114" i="3"/>
  <c r="G1115" i="3"/>
  <c r="G1116" i="3"/>
  <c r="G1117" i="3"/>
  <c r="G1118" i="3"/>
  <c r="G1119" i="3"/>
  <c r="G1120" i="3"/>
  <c r="G1121" i="3"/>
  <c r="G1122" i="3"/>
  <c r="G1123" i="3"/>
  <c r="G1124" i="3"/>
  <c r="G1125" i="3"/>
  <c r="G1126" i="3"/>
  <c r="G1127" i="3"/>
  <c r="G1128" i="3"/>
  <c r="G1129" i="3"/>
  <c r="G1130" i="3"/>
  <c r="G1131" i="3"/>
  <c r="G1132" i="3"/>
  <c r="G1133" i="3"/>
  <c r="G1134" i="3"/>
  <c r="G1135" i="3"/>
  <c r="G1136" i="3"/>
  <c r="G1137" i="3"/>
  <c r="G1138" i="3"/>
  <c r="G1139" i="3"/>
  <c r="G1140" i="3"/>
  <c r="G1141" i="3"/>
  <c r="G1142" i="3"/>
  <c r="G1143" i="3"/>
  <c r="G2" i="3"/>
  <c r="A681" i="3" l="1"/>
  <c r="A682" i="3" s="1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97" i="3" s="1"/>
  <c r="A698" i="3" s="1"/>
  <c r="A699" i="3" s="1"/>
  <c r="A700" i="3" s="1"/>
  <c r="A701" i="3" s="1"/>
  <c r="A702" i="3" s="1"/>
  <c r="A703" i="3" s="1"/>
  <c r="A704" i="3" s="1"/>
  <c r="A705" i="3" s="1"/>
  <c r="A706" i="3" s="1"/>
  <c r="A707" i="3" s="1"/>
  <c r="A708" i="3" s="1"/>
  <c r="A709" i="3" s="1"/>
  <c r="A710" i="3" s="1"/>
  <c r="A650" i="3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E8" i="2" l="1"/>
  <c r="C6" i="2" s="1"/>
  <c r="O25" i="2"/>
  <c r="G25" i="2"/>
  <c r="A619" i="3" l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588" i="3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557" i="3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26" i="3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495" i="3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464" i="3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33" i="3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02" i="3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371" i="3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O65" i="1"/>
  <c r="M65" i="1"/>
  <c r="Q64" i="1"/>
  <c r="Q65" i="1"/>
  <c r="Q66" i="1"/>
  <c r="Q67" i="1"/>
  <c r="Q68" i="1"/>
  <c r="Q69" i="1"/>
  <c r="Q70" i="1"/>
  <c r="Q71" i="1"/>
  <c r="Q72" i="1"/>
  <c r="Q73" i="1"/>
  <c r="Q74" i="1"/>
  <c r="O67" i="1"/>
  <c r="O68" i="1"/>
  <c r="O69" i="1"/>
  <c r="O70" i="1"/>
  <c r="O71" i="1"/>
  <c r="O72" i="1"/>
  <c r="O73" i="1"/>
  <c r="O74" i="1"/>
  <c r="O66" i="1"/>
  <c r="M74" i="1"/>
  <c r="M73" i="1"/>
  <c r="M72" i="1"/>
  <c r="M71" i="1"/>
  <c r="M70" i="1"/>
  <c r="M69" i="1"/>
  <c r="M68" i="1"/>
  <c r="M67" i="1"/>
  <c r="M66" i="1"/>
  <c r="K74" i="1"/>
  <c r="K73" i="1"/>
  <c r="K72" i="1"/>
  <c r="K71" i="1"/>
  <c r="K70" i="1"/>
  <c r="K69" i="1"/>
  <c r="K68" i="1"/>
  <c r="K67" i="1"/>
  <c r="K66" i="1"/>
  <c r="K65" i="1"/>
  <c r="Q55" i="1"/>
  <c r="Q56" i="1"/>
  <c r="Q57" i="1"/>
  <c r="Q58" i="1"/>
  <c r="Q59" i="1"/>
  <c r="Q60" i="1"/>
  <c r="Q61" i="1"/>
  <c r="Q62" i="1"/>
  <c r="Q63" i="1"/>
  <c r="O63" i="1"/>
  <c r="O62" i="1"/>
  <c r="O61" i="1"/>
  <c r="O60" i="1"/>
  <c r="O59" i="1"/>
  <c r="O58" i="1"/>
  <c r="O57" i="1"/>
  <c r="O56" i="1"/>
  <c r="O55" i="1"/>
  <c r="Q45" i="1"/>
  <c r="Q46" i="1"/>
  <c r="Q47" i="1"/>
  <c r="Q48" i="1"/>
  <c r="Q49" i="1"/>
  <c r="Q50" i="1"/>
  <c r="Q51" i="1"/>
  <c r="Q52" i="1"/>
  <c r="Q53" i="1"/>
  <c r="Q54" i="1"/>
  <c r="O45" i="1"/>
  <c r="O46" i="1"/>
  <c r="O47" i="1"/>
  <c r="O48" i="1"/>
  <c r="O49" i="1"/>
  <c r="O50" i="1"/>
  <c r="O51" i="1"/>
  <c r="O52" i="1"/>
  <c r="O53" i="1"/>
  <c r="O54" i="1"/>
  <c r="M45" i="1"/>
  <c r="M46" i="1"/>
  <c r="M47" i="1"/>
  <c r="M48" i="1"/>
  <c r="M49" i="1"/>
  <c r="M50" i="1"/>
  <c r="M51" i="1"/>
  <c r="M52" i="1"/>
  <c r="M53" i="1"/>
  <c r="M54" i="1"/>
  <c r="K45" i="1"/>
  <c r="K46" i="1"/>
  <c r="K47" i="1"/>
  <c r="K48" i="1"/>
  <c r="K49" i="1"/>
  <c r="K50" i="1"/>
  <c r="K51" i="1"/>
  <c r="K52" i="1"/>
  <c r="K53" i="1"/>
  <c r="K54" i="1"/>
  <c r="Q35" i="1"/>
  <c r="Q36" i="1"/>
  <c r="Q37" i="1"/>
  <c r="Q38" i="1"/>
  <c r="Q39" i="1"/>
  <c r="Q40" i="1"/>
  <c r="Q41" i="1"/>
  <c r="Q42" i="1"/>
  <c r="Q43" i="1"/>
  <c r="Q44" i="1"/>
  <c r="O44" i="1"/>
  <c r="O43" i="1"/>
  <c r="O42" i="1"/>
  <c r="O41" i="1"/>
  <c r="O40" i="1"/>
  <c r="O39" i="1"/>
  <c r="O38" i="1"/>
  <c r="O37" i="1"/>
  <c r="O36" i="1"/>
  <c r="O35" i="1"/>
  <c r="M35" i="1"/>
  <c r="M36" i="1"/>
  <c r="M37" i="1"/>
  <c r="M38" i="1"/>
  <c r="M39" i="1"/>
  <c r="M40" i="1"/>
  <c r="M41" i="1"/>
  <c r="M42" i="1"/>
  <c r="M43" i="1"/>
  <c r="M44" i="1"/>
  <c r="K35" i="1"/>
  <c r="K36" i="1"/>
  <c r="K37" i="1"/>
  <c r="K38" i="1"/>
  <c r="K39" i="1"/>
  <c r="K40" i="1"/>
  <c r="K41" i="1"/>
  <c r="K42" i="1"/>
  <c r="K43" i="1"/>
  <c r="K44" i="1"/>
  <c r="Q33" i="1"/>
  <c r="Q34" i="1"/>
  <c r="M34" i="1" l="1"/>
  <c r="M33" i="1"/>
  <c r="K34" i="1"/>
  <c r="K33" i="1"/>
  <c r="Q31" i="1"/>
  <c r="Q32" i="1"/>
  <c r="O32" i="1"/>
  <c r="O31" i="1"/>
  <c r="M32" i="1"/>
  <c r="M31" i="1"/>
  <c r="K32" i="1"/>
  <c r="K31" i="1"/>
  <c r="Q29" i="1"/>
  <c r="Q30" i="1"/>
  <c r="O30" i="1"/>
  <c r="O29" i="1"/>
  <c r="M30" i="1"/>
  <c r="M29" i="1"/>
  <c r="K30" i="1"/>
  <c r="K29" i="1"/>
  <c r="Q27" i="1"/>
  <c r="Q28" i="1"/>
  <c r="O28" i="1"/>
  <c r="O27" i="1"/>
  <c r="M28" i="1"/>
  <c r="M27" i="1"/>
  <c r="K28" i="1"/>
  <c r="K27" i="1"/>
  <c r="A278" i="3" l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247" i="3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16" i="3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185" i="3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Q25" i="1" l="1"/>
  <c r="Q26" i="1"/>
  <c r="O26" i="1"/>
  <c r="O25" i="1"/>
  <c r="M26" i="1"/>
  <c r="M25" i="1"/>
  <c r="K26" i="1"/>
  <c r="K25" i="1"/>
  <c r="Q21" i="1"/>
  <c r="Q22" i="1"/>
  <c r="Q23" i="1"/>
  <c r="Q24" i="1"/>
  <c r="O24" i="1"/>
  <c r="O23" i="1"/>
  <c r="M24" i="1"/>
  <c r="M23" i="1"/>
  <c r="K24" i="1"/>
  <c r="K23" i="1"/>
  <c r="O22" i="1"/>
  <c r="O21" i="1"/>
  <c r="M22" i="1"/>
  <c r="M21" i="1"/>
  <c r="K22" i="1"/>
  <c r="K21" i="1"/>
  <c r="Q19" i="1"/>
  <c r="Q20" i="1"/>
  <c r="K19" i="1"/>
  <c r="O20" i="1"/>
  <c r="M20" i="1"/>
  <c r="K20" i="1"/>
  <c r="O19" i="1"/>
  <c r="M19" i="1"/>
  <c r="D45" i="2" l="1"/>
  <c r="D44" i="2"/>
  <c r="E43" i="2"/>
  <c r="F43" i="2" s="1"/>
  <c r="G43" i="2" s="1"/>
  <c r="H43" i="2" s="1"/>
  <c r="I43" i="2" s="1"/>
  <c r="J43" i="2" s="1"/>
  <c r="K43" i="2" s="1"/>
  <c r="L43" i="2" s="1"/>
  <c r="M43" i="2" s="1"/>
  <c r="N43" i="2" s="1"/>
  <c r="O43" i="2" s="1"/>
  <c r="O45" i="2" s="1"/>
  <c r="B6" i="6"/>
  <c r="K25" i="2"/>
  <c r="B5" i="6" s="1"/>
  <c r="B4" i="6"/>
  <c r="S25" i="2"/>
  <c r="B7" i="6" s="1"/>
  <c r="L44" i="2" l="1"/>
  <c r="H45" i="2"/>
  <c r="M44" i="2"/>
  <c r="I45" i="2"/>
  <c r="L45" i="2"/>
  <c r="E44" i="2"/>
  <c r="E45" i="2"/>
  <c r="M45" i="2"/>
  <c r="F44" i="2"/>
  <c r="N44" i="2"/>
  <c r="F45" i="2"/>
  <c r="J45" i="2"/>
  <c r="N45" i="2"/>
  <c r="K44" i="2"/>
  <c r="O44" i="2"/>
  <c r="G45" i="2"/>
  <c r="K45" i="2"/>
  <c r="C26" i="2" l="1" a="1"/>
  <c r="C9" i="2" a="1"/>
  <c r="C9" i="2" l="1"/>
  <c r="D9" i="2" s="1"/>
  <c r="D14" i="2"/>
  <c r="D11" i="2"/>
  <c r="D15" i="2"/>
  <c r="D12" i="2"/>
  <c r="D16" i="2"/>
  <c r="D13" i="2"/>
  <c r="D21" i="2"/>
  <c r="I32" i="2"/>
  <c r="M32" i="2"/>
  <c r="Q32" i="2"/>
  <c r="U32" i="2"/>
  <c r="J33" i="2"/>
  <c r="N33" i="2"/>
  <c r="R33" i="2"/>
  <c r="G34" i="2"/>
  <c r="K34" i="2"/>
  <c r="O34" i="2"/>
  <c r="S34" i="2"/>
  <c r="H35" i="2"/>
  <c r="L35" i="2"/>
  <c r="P35" i="2"/>
  <c r="T35" i="2"/>
  <c r="I36" i="2"/>
  <c r="M36" i="2"/>
  <c r="Q36" i="2"/>
  <c r="U36" i="2"/>
  <c r="D33" i="2"/>
  <c r="E34" i="2"/>
  <c r="F35" i="2"/>
  <c r="D37" i="2"/>
  <c r="E38" i="2"/>
  <c r="F36" i="2"/>
  <c r="J32" i="2"/>
  <c r="N32" i="2"/>
  <c r="R32" i="2"/>
  <c r="G33" i="2"/>
  <c r="K33" i="2"/>
  <c r="O33" i="2"/>
  <c r="S33" i="2"/>
  <c r="H34" i="2"/>
  <c r="L34" i="2"/>
  <c r="P34" i="2"/>
  <c r="T34" i="2"/>
  <c r="I35" i="2"/>
  <c r="M35" i="2"/>
  <c r="Q35" i="2"/>
  <c r="U35" i="2"/>
  <c r="J36" i="2"/>
  <c r="N36" i="2"/>
  <c r="R36" i="2"/>
  <c r="D32" i="2"/>
  <c r="E33" i="2"/>
  <c r="F34" i="2"/>
  <c r="D36" i="2"/>
  <c r="E37" i="2"/>
  <c r="F38" i="2"/>
  <c r="E35" i="2"/>
  <c r="G32" i="2"/>
  <c r="K32" i="2"/>
  <c r="O32" i="2"/>
  <c r="S32" i="2"/>
  <c r="H33" i="2"/>
  <c r="L33" i="2"/>
  <c r="P33" i="2"/>
  <c r="T33" i="2"/>
  <c r="I34" i="2"/>
  <c r="M34" i="2"/>
  <c r="Q34" i="2"/>
  <c r="U34" i="2"/>
  <c r="J35" i="2"/>
  <c r="N35" i="2"/>
  <c r="R35" i="2"/>
  <c r="G36" i="2"/>
  <c r="K36" i="2"/>
  <c r="O36" i="2"/>
  <c r="S36" i="2"/>
  <c r="E32" i="2"/>
  <c r="F33" i="2"/>
  <c r="D35" i="2"/>
  <c r="E36" i="2"/>
  <c r="F37" i="2"/>
  <c r="H32" i="2"/>
  <c r="L32" i="2"/>
  <c r="P32" i="2"/>
  <c r="T32" i="2"/>
  <c r="I33" i="2"/>
  <c r="M33" i="2"/>
  <c r="Q33" i="2"/>
  <c r="U33" i="2"/>
  <c r="J34" i="2"/>
  <c r="N34" i="2"/>
  <c r="R34" i="2"/>
  <c r="G35" i="2"/>
  <c r="K35" i="2"/>
  <c r="O35" i="2"/>
  <c r="S35" i="2"/>
  <c r="H36" i="2"/>
  <c r="L36" i="2"/>
  <c r="P36" i="2"/>
  <c r="T36" i="2"/>
  <c r="F32" i="2"/>
  <c r="D34" i="2"/>
  <c r="D38" i="2"/>
  <c r="N37" i="2"/>
  <c r="I38" i="2"/>
  <c r="Q38" i="2"/>
  <c r="L38" i="2"/>
  <c r="G38" i="2"/>
  <c r="O38" i="2"/>
  <c r="T38" i="2"/>
  <c r="U37" i="2"/>
  <c r="R37" i="2"/>
  <c r="H38" i="2"/>
  <c r="K38" i="2"/>
  <c r="T37" i="2"/>
  <c r="S38" i="2"/>
  <c r="P37" i="2"/>
  <c r="U38" i="2"/>
  <c r="J38" i="2"/>
  <c r="R38" i="2"/>
  <c r="I37" i="2"/>
  <c r="Q37" i="2"/>
  <c r="L37" i="2"/>
  <c r="G37" i="2"/>
  <c r="O37" i="2"/>
  <c r="J37" i="2"/>
  <c r="M38" i="2"/>
  <c r="P38" i="2"/>
  <c r="S37" i="2"/>
  <c r="N38" i="2"/>
  <c r="M37" i="2"/>
  <c r="H37" i="2"/>
  <c r="K37" i="2"/>
  <c r="D20" i="2"/>
  <c r="D19" i="2"/>
  <c r="F31" i="2"/>
  <c r="E31" i="2"/>
  <c r="D31" i="2"/>
  <c r="J31" i="2"/>
  <c r="N31" i="2"/>
  <c r="R31" i="2"/>
  <c r="T31" i="2"/>
  <c r="I31" i="2"/>
  <c r="M31" i="2"/>
  <c r="Q31" i="2"/>
  <c r="H31" i="2"/>
  <c r="L31" i="2"/>
  <c r="P31" i="2"/>
  <c r="K31" i="2"/>
  <c r="O31" i="2"/>
  <c r="U31" i="2"/>
  <c r="S31" i="2"/>
  <c r="G31" i="2"/>
  <c r="C26" i="2"/>
  <c r="F30" i="2"/>
  <c r="E29" i="2"/>
  <c r="D28" i="2"/>
  <c r="D27" i="2"/>
  <c r="F27" i="2"/>
  <c r="E30" i="2"/>
  <c r="D29" i="2"/>
  <c r="F29" i="2"/>
  <c r="E28" i="2"/>
  <c r="F28" i="2"/>
  <c r="E27" i="2"/>
  <c r="D30" i="2"/>
  <c r="K27" i="2"/>
  <c r="Q30" i="2"/>
  <c r="H29" i="2"/>
  <c r="L30" i="2"/>
  <c r="P27" i="2"/>
  <c r="G29" i="2"/>
  <c r="K29" i="2"/>
  <c r="O29" i="2"/>
  <c r="S29" i="2"/>
  <c r="T30" i="2"/>
  <c r="H30" i="2"/>
  <c r="G30" i="2"/>
  <c r="O27" i="2"/>
  <c r="J30" i="2"/>
  <c r="S30" i="2"/>
  <c r="H28" i="2"/>
  <c r="L29" i="2"/>
  <c r="P30" i="2"/>
  <c r="T28" i="2"/>
  <c r="G28" i="2"/>
  <c r="K28" i="2"/>
  <c r="O28" i="2"/>
  <c r="M30" i="2"/>
  <c r="P28" i="2"/>
  <c r="O30" i="2"/>
  <c r="S27" i="2"/>
  <c r="N30" i="2"/>
  <c r="I30" i="2"/>
  <c r="H27" i="2"/>
  <c r="L28" i="2"/>
  <c r="P29" i="2"/>
  <c r="T27" i="2"/>
  <c r="U30" i="2"/>
  <c r="G27" i="2"/>
  <c r="R30" i="2"/>
  <c r="L27" i="2"/>
  <c r="K30" i="2"/>
  <c r="S28" i="2"/>
  <c r="T29" i="2"/>
  <c r="D18" i="2"/>
  <c r="D17" i="2"/>
  <c r="D10" i="2"/>
  <c r="F26" i="2" l="1"/>
  <c r="D26" i="2"/>
  <c r="E26" i="2"/>
  <c r="G26" i="2"/>
  <c r="G39" i="2" s="1"/>
  <c r="S26" i="2"/>
  <c r="S39" i="2" s="1"/>
  <c r="K26" i="2"/>
  <c r="K39" i="2" s="1"/>
  <c r="H26" i="2"/>
  <c r="H39" i="2" s="1"/>
  <c r="T26" i="2"/>
  <c r="T39" i="2" s="1"/>
  <c r="O26" i="2"/>
  <c r="O39" i="2" s="1"/>
  <c r="L26" i="2"/>
  <c r="L39" i="2" s="1"/>
  <c r="P26" i="2"/>
  <c r="P39" i="2" s="1"/>
  <c r="A93" i="3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63" i="3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33" i="3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B2" i="4" a="1"/>
  <c r="B2" i="4" s="1"/>
  <c r="A3" i="3"/>
  <c r="A4" i="3" l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E14" i="2"/>
  <c r="C2" i="4" a="1"/>
  <c r="C2" i="4" s="1"/>
  <c r="A2" i="4" a="1"/>
  <c r="A2" i="4" s="1"/>
  <c r="E15" i="2" l="1"/>
  <c r="E16" i="2"/>
  <c r="E13" i="2"/>
  <c r="E11" i="2"/>
  <c r="E12" i="2"/>
  <c r="E19" i="2"/>
  <c r="E10" i="2"/>
  <c r="E20" i="2"/>
  <c r="E21" i="2"/>
  <c r="E17" i="2"/>
  <c r="E18" i="2"/>
  <c r="E9" i="2"/>
  <c r="F8" i="2"/>
  <c r="E7" i="2"/>
  <c r="G8" i="2" l="1"/>
  <c r="F15" i="2"/>
  <c r="F14" i="2"/>
  <c r="F13" i="2"/>
  <c r="F11" i="2"/>
  <c r="F16" i="2"/>
  <c r="F12" i="2"/>
  <c r="F20" i="2"/>
  <c r="F21" i="2"/>
  <c r="F17" i="2"/>
  <c r="F18" i="2"/>
  <c r="F9" i="2"/>
  <c r="F19" i="2"/>
  <c r="F10" i="2"/>
  <c r="G21" i="2"/>
  <c r="G17" i="2"/>
  <c r="G9" i="2"/>
  <c r="G18" i="2"/>
  <c r="G19" i="2"/>
  <c r="G10" i="2"/>
  <c r="G20" i="2"/>
  <c r="G7" i="2"/>
  <c r="F7" i="2"/>
  <c r="H8" i="2"/>
  <c r="H16" i="2" l="1"/>
  <c r="H14" i="2"/>
  <c r="H15" i="2"/>
  <c r="H12" i="2"/>
  <c r="H13" i="2"/>
  <c r="H11" i="2"/>
  <c r="G12" i="2"/>
  <c r="G13" i="2"/>
  <c r="G15" i="2"/>
  <c r="G11" i="2"/>
  <c r="G16" i="2"/>
  <c r="G14" i="2"/>
  <c r="H18" i="2"/>
  <c r="H19" i="2"/>
  <c r="H10" i="2"/>
  <c r="H20" i="2"/>
  <c r="H21" i="2"/>
  <c r="H17" i="2"/>
  <c r="H9" i="2"/>
  <c r="H7" i="2"/>
  <c r="I8" i="2"/>
  <c r="I16" i="2" l="1"/>
  <c r="I14" i="2"/>
  <c r="I13" i="2"/>
  <c r="I12" i="2"/>
  <c r="I11" i="2"/>
  <c r="I15" i="2"/>
  <c r="I19" i="2"/>
  <c r="I20" i="2"/>
  <c r="I21" i="2"/>
  <c r="I17" i="2"/>
  <c r="I18" i="2"/>
  <c r="I9" i="2"/>
  <c r="I10" i="2"/>
  <c r="I7" i="2"/>
  <c r="J8" i="2"/>
  <c r="J12" i="2" l="1"/>
  <c r="J14" i="2"/>
  <c r="J13" i="2"/>
  <c r="J16" i="2"/>
  <c r="J15" i="2"/>
  <c r="J11" i="2"/>
  <c r="J20" i="2"/>
  <c r="J21" i="2"/>
  <c r="J17" i="2"/>
  <c r="J18" i="2"/>
  <c r="J9" i="2"/>
  <c r="J19" i="2"/>
  <c r="J10" i="2"/>
  <c r="J7" i="2"/>
  <c r="K8" i="2"/>
  <c r="K14" i="2" l="1"/>
  <c r="K11" i="2"/>
  <c r="K16" i="2"/>
  <c r="K12" i="2"/>
  <c r="K15" i="2"/>
  <c r="K13" i="2"/>
  <c r="K21" i="2"/>
  <c r="K17" i="2"/>
  <c r="K18" i="2"/>
  <c r="K9" i="2"/>
  <c r="K19" i="2"/>
  <c r="K10" i="2"/>
  <c r="K20" i="2"/>
  <c r="K7" i="2"/>
  <c r="L8" i="2"/>
  <c r="L16" i="2" l="1"/>
  <c r="L14" i="2"/>
  <c r="L12" i="2"/>
  <c r="L13" i="2"/>
  <c r="L15" i="2"/>
  <c r="L11" i="2"/>
  <c r="L18" i="2"/>
  <c r="L9" i="2"/>
  <c r="L19" i="2"/>
  <c r="L10" i="2"/>
  <c r="L20" i="2"/>
  <c r="L21" i="2"/>
  <c r="L17" i="2"/>
  <c r="L7" i="2"/>
  <c r="M8" i="2"/>
  <c r="M11" i="2" l="1"/>
  <c r="M14" i="2"/>
  <c r="M12" i="2"/>
  <c r="M16" i="2"/>
  <c r="M13" i="2"/>
  <c r="M15" i="2"/>
  <c r="M19" i="2"/>
  <c r="M10" i="2"/>
  <c r="M20" i="2"/>
  <c r="M21" i="2"/>
  <c r="M17" i="2"/>
  <c r="M18" i="2"/>
  <c r="M9" i="2"/>
  <c r="M7" i="2"/>
  <c r="N8" i="2"/>
  <c r="N16" i="2" l="1"/>
  <c r="N13" i="2"/>
  <c r="N11" i="2"/>
  <c r="N14" i="2"/>
  <c r="N12" i="2"/>
  <c r="N15" i="2"/>
  <c r="N20" i="2"/>
  <c r="N21" i="2"/>
  <c r="N17" i="2"/>
  <c r="N18" i="2"/>
  <c r="N9" i="2"/>
  <c r="N19" i="2"/>
  <c r="N10" i="2"/>
  <c r="N7" i="2"/>
  <c r="O8" i="2"/>
  <c r="O11" i="2" l="1"/>
  <c r="O15" i="2"/>
  <c r="O16" i="2"/>
  <c r="O13" i="2"/>
  <c r="O14" i="2"/>
  <c r="O12" i="2"/>
  <c r="O21" i="2"/>
  <c r="O17" i="2"/>
  <c r="O18" i="2"/>
  <c r="O19" i="2"/>
  <c r="O10" i="2"/>
  <c r="O20" i="2"/>
  <c r="O9" i="2"/>
  <c r="O7" i="2"/>
  <c r="P8" i="2"/>
  <c r="P13" i="2" l="1"/>
  <c r="P14" i="2"/>
  <c r="P16" i="2"/>
  <c r="P11" i="2"/>
  <c r="P12" i="2"/>
  <c r="P15" i="2"/>
  <c r="P18" i="2"/>
  <c r="P10" i="2"/>
  <c r="P19" i="2"/>
  <c r="P20" i="2"/>
  <c r="P21" i="2"/>
  <c r="P17" i="2"/>
  <c r="P9" i="2"/>
  <c r="P7" i="2"/>
  <c r="Q8" i="2"/>
  <c r="Q13" i="2" l="1"/>
  <c r="Q11" i="2"/>
  <c r="Q15" i="2"/>
  <c r="Q12" i="2"/>
  <c r="Q16" i="2"/>
  <c r="Q14" i="2"/>
  <c r="Q19" i="2"/>
  <c r="Q10" i="2"/>
  <c r="Q20" i="2"/>
  <c r="Q21" i="2"/>
  <c r="Q17" i="2"/>
  <c r="Q18" i="2"/>
  <c r="Q9" i="2"/>
  <c r="Q7" i="2"/>
  <c r="R8" i="2"/>
  <c r="R12" i="2" l="1"/>
  <c r="R11" i="2"/>
  <c r="R14" i="2"/>
  <c r="R16" i="2"/>
  <c r="R15" i="2"/>
  <c r="R13" i="2"/>
  <c r="R20" i="2"/>
  <c r="R21" i="2"/>
  <c r="R17" i="2"/>
  <c r="R18" i="2"/>
  <c r="R9" i="2"/>
  <c r="R19" i="2"/>
  <c r="R10" i="2"/>
  <c r="R7" i="2"/>
  <c r="S8" i="2"/>
  <c r="S15" i="2" l="1"/>
  <c r="S13" i="2"/>
  <c r="S14" i="2"/>
  <c r="S12" i="2"/>
  <c r="S16" i="2"/>
  <c r="S11" i="2"/>
  <c r="S21" i="2"/>
  <c r="S17" i="2"/>
  <c r="S9" i="2"/>
  <c r="S18" i="2"/>
  <c r="S19" i="2"/>
  <c r="S10" i="2"/>
  <c r="S20" i="2"/>
  <c r="S7" i="2"/>
  <c r="T8" i="2"/>
  <c r="T15" i="2" l="1"/>
  <c r="T14" i="2"/>
  <c r="T13" i="2"/>
  <c r="T12" i="2"/>
  <c r="T16" i="2"/>
  <c r="T11" i="2"/>
  <c r="T18" i="2"/>
  <c r="T9" i="2"/>
  <c r="T19" i="2"/>
  <c r="T10" i="2"/>
  <c r="T20" i="2"/>
  <c r="T21" i="2"/>
  <c r="T17" i="2"/>
  <c r="T7" i="2"/>
  <c r="U8" i="2"/>
  <c r="U11" i="2" l="1"/>
  <c r="U12" i="2"/>
  <c r="U15" i="2"/>
  <c r="U14" i="2"/>
  <c r="U13" i="2"/>
  <c r="U16" i="2"/>
  <c r="U19" i="2"/>
  <c r="U10" i="2"/>
  <c r="U20" i="2"/>
  <c r="U21" i="2"/>
  <c r="U17" i="2"/>
  <c r="U18" i="2"/>
  <c r="U9" i="2"/>
  <c r="U7" i="2"/>
  <c r="V8" i="2"/>
  <c r="V16" i="2" l="1"/>
  <c r="V12" i="2"/>
  <c r="V13" i="2"/>
  <c r="V11" i="2"/>
  <c r="V15" i="2"/>
  <c r="V14" i="2"/>
  <c r="V20" i="2"/>
  <c r="V21" i="2"/>
  <c r="V17" i="2"/>
  <c r="V18" i="2"/>
  <c r="V9" i="2"/>
  <c r="V19" i="2"/>
  <c r="V10" i="2"/>
  <c r="V7" i="2"/>
  <c r="W8" i="2"/>
  <c r="W16" i="2" l="1"/>
  <c r="W11" i="2"/>
  <c r="W12" i="2"/>
  <c r="W13" i="2"/>
  <c r="W14" i="2"/>
  <c r="W15" i="2"/>
  <c r="W21" i="2"/>
  <c r="W17" i="2"/>
  <c r="W18" i="2"/>
  <c r="W19" i="2"/>
  <c r="W10" i="2"/>
  <c r="W20" i="2"/>
  <c r="W9" i="2"/>
  <c r="W7" i="2"/>
  <c r="X8" i="2"/>
  <c r="X11" i="2" l="1"/>
  <c r="X13" i="2"/>
  <c r="X14" i="2"/>
  <c r="X16" i="2"/>
  <c r="X12" i="2"/>
  <c r="X15" i="2"/>
  <c r="X18" i="2"/>
  <c r="X19" i="2"/>
  <c r="X20" i="2"/>
  <c r="X21" i="2"/>
  <c r="X17" i="2"/>
  <c r="X9" i="2"/>
  <c r="X10" i="2"/>
  <c r="X7" i="2"/>
  <c r="Y8" i="2"/>
  <c r="Y12" i="2" l="1"/>
  <c r="Y16" i="2"/>
  <c r="Y11" i="2"/>
  <c r="Y14" i="2"/>
  <c r="Y15" i="2"/>
  <c r="Y13" i="2"/>
  <c r="Y19" i="2"/>
  <c r="Y10" i="2"/>
  <c r="Y20" i="2"/>
  <c r="Y21" i="2"/>
  <c r="Y17" i="2"/>
  <c r="Y18" i="2"/>
  <c r="Y9" i="2"/>
  <c r="Y7" i="2"/>
  <c r="Z8" i="2"/>
  <c r="Z14" i="2" l="1"/>
  <c r="Z12" i="2"/>
  <c r="Z11" i="2"/>
  <c r="Z15" i="2"/>
  <c r="Z13" i="2"/>
  <c r="Z16" i="2"/>
  <c r="Z20" i="2"/>
  <c r="Z21" i="2"/>
  <c r="Z17" i="2"/>
  <c r="Z18" i="2"/>
  <c r="Z9" i="2"/>
  <c r="Z19" i="2"/>
  <c r="Z10" i="2"/>
  <c r="Z7" i="2"/>
  <c r="AA8" i="2"/>
  <c r="AA12" i="2" l="1"/>
  <c r="AA15" i="2"/>
  <c r="AA16" i="2"/>
  <c r="AA11" i="2"/>
  <c r="AA14" i="2"/>
  <c r="AA13" i="2"/>
  <c r="AA21" i="2"/>
  <c r="AA17" i="2"/>
  <c r="AA18" i="2"/>
  <c r="AA9" i="2"/>
  <c r="AA19" i="2"/>
  <c r="AA10" i="2"/>
  <c r="AA20" i="2"/>
  <c r="AA7" i="2"/>
  <c r="AB8" i="2"/>
  <c r="AB11" i="2" l="1"/>
  <c r="AB15" i="2"/>
  <c r="AB13" i="2"/>
  <c r="AB14" i="2"/>
  <c r="AB16" i="2"/>
  <c r="AB12" i="2"/>
  <c r="AB18" i="2"/>
  <c r="AB9" i="2"/>
  <c r="AB19" i="2"/>
  <c r="AB10" i="2"/>
  <c r="AB20" i="2"/>
  <c r="AB21" i="2"/>
  <c r="AB17" i="2"/>
  <c r="AB7" i="2"/>
  <c r="AC8" i="2"/>
  <c r="AC16" i="2" l="1"/>
  <c r="AC15" i="2"/>
  <c r="AC12" i="2"/>
  <c r="AC11" i="2"/>
  <c r="AC14" i="2"/>
  <c r="AC13" i="2"/>
  <c r="AC19" i="2"/>
  <c r="AC10" i="2"/>
  <c r="AC20" i="2"/>
  <c r="AC21" i="2"/>
  <c r="AC17" i="2"/>
  <c r="AC18" i="2"/>
  <c r="AC9" i="2"/>
  <c r="AC7" i="2"/>
  <c r="AD8" i="2"/>
  <c r="AD14" i="2" l="1"/>
  <c r="AD16" i="2"/>
  <c r="AD15" i="2"/>
  <c r="AD11" i="2"/>
  <c r="AD13" i="2"/>
  <c r="AD12" i="2"/>
  <c r="AD20" i="2"/>
  <c r="AD21" i="2"/>
  <c r="AD17" i="2"/>
  <c r="AD18" i="2"/>
  <c r="AD9" i="2"/>
  <c r="AD19" i="2"/>
  <c r="AD10" i="2"/>
  <c r="AD7" i="2"/>
  <c r="AE8" i="2"/>
  <c r="AE16" i="2" l="1"/>
  <c r="AE12" i="2"/>
  <c r="AE14" i="2"/>
  <c r="AE11" i="2"/>
  <c r="AE15" i="2"/>
  <c r="AE13" i="2"/>
  <c r="AE21" i="2"/>
  <c r="AE17" i="2"/>
  <c r="AE9" i="2"/>
  <c r="AE18" i="2"/>
  <c r="AE19" i="2"/>
  <c r="AE10" i="2"/>
  <c r="AE20" i="2"/>
  <c r="AE7" i="2"/>
  <c r="AF8" i="2"/>
  <c r="AF11" i="2" l="1"/>
  <c r="AF16" i="2"/>
  <c r="AF12" i="2"/>
  <c r="AF13" i="2"/>
  <c r="AF15" i="2"/>
  <c r="AF14" i="2"/>
  <c r="AF18" i="2"/>
  <c r="AF9" i="2"/>
  <c r="AF19" i="2"/>
  <c r="AF10" i="2"/>
  <c r="AF20" i="2"/>
  <c r="AF21" i="2"/>
  <c r="AF17" i="2"/>
  <c r="AF7" i="2"/>
  <c r="AG8" i="2"/>
  <c r="AG15" i="2" l="1"/>
  <c r="AG13" i="2"/>
  <c r="AG11" i="2"/>
  <c r="AG14" i="2"/>
  <c r="AG12" i="2"/>
  <c r="AG16" i="2"/>
  <c r="AG19" i="2"/>
  <c r="AG10" i="2"/>
  <c r="AG20" i="2"/>
  <c r="AG21" i="2"/>
  <c r="AG17" i="2"/>
  <c r="AG18" i="2"/>
  <c r="AG9" i="2"/>
  <c r="AG7" i="2"/>
  <c r="AH8" i="2"/>
  <c r="AH13" i="2" l="1"/>
  <c r="AH16" i="2"/>
  <c r="AH11" i="2"/>
  <c r="AH14" i="2"/>
  <c r="AH12" i="2"/>
  <c r="AH15" i="2"/>
  <c r="AH20" i="2"/>
  <c r="AH21" i="2"/>
  <c r="AH17" i="2"/>
  <c r="AH18" i="2"/>
  <c r="AH9" i="2"/>
  <c r="AH19" i="2"/>
  <c r="AH10" i="2"/>
  <c r="AH7" i="2"/>
  <c r="AI8" i="2"/>
  <c r="AI12" i="2" l="1"/>
  <c r="AJ12" i="2" s="1"/>
  <c r="AK12" i="2" s="1"/>
  <c r="AI11" i="2"/>
  <c r="AJ11" i="2" s="1"/>
  <c r="AK11" i="2" s="1"/>
  <c r="AI16" i="2"/>
  <c r="AJ16" i="2" s="1"/>
  <c r="AK16" i="2" s="1"/>
  <c r="AI13" i="2"/>
  <c r="AJ13" i="2" s="1"/>
  <c r="AK13" i="2" s="1"/>
  <c r="AI15" i="2"/>
  <c r="AJ15" i="2" s="1"/>
  <c r="AK15" i="2" s="1"/>
  <c r="AI14" i="2"/>
  <c r="AJ14" i="2" s="1"/>
  <c r="AK14" i="2" s="1"/>
  <c r="AI21" i="2"/>
  <c r="AJ21" i="2" s="1"/>
  <c r="AK21" i="2" s="1"/>
  <c r="AI17" i="2"/>
  <c r="AJ17" i="2" s="1"/>
  <c r="AK17" i="2" s="1"/>
  <c r="AI18" i="2"/>
  <c r="AJ18" i="2" s="1"/>
  <c r="AK18" i="2" s="1"/>
  <c r="AI19" i="2"/>
  <c r="AJ19" i="2" s="1"/>
  <c r="AK19" i="2" s="1"/>
  <c r="AI10" i="2"/>
  <c r="AJ10" i="2" s="1"/>
  <c r="AK10" i="2" s="1"/>
  <c r="AI20" i="2"/>
  <c r="AJ20" i="2" s="1"/>
  <c r="AK20" i="2" s="1"/>
  <c r="AI9" i="2"/>
  <c r="AJ9" i="2" s="1"/>
  <c r="AI7" i="2"/>
  <c r="M18" i="1"/>
  <c r="M17" i="1"/>
  <c r="M16" i="1"/>
  <c r="M15" i="1"/>
  <c r="K18" i="1"/>
  <c r="K17" i="1"/>
  <c r="K16" i="1"/>
  <c r="K15" i="1"/>
  <c r="O14" i="1"/>
  <c r="O13" i="1"/>
  <c r="O12" i="1"/>
  <c r="O11" i="1"/>
  <c r="M14" i="1"/>
  <c r="M13" i="1"/>
  <c r="M28" i="2" s="1"/>
  <c r="M12" i="1"/>
  <c r="M11" i="1"/>
  <c r="K14" i="1"/>
  <c r="K13" i="1"/>
  <c r="K12" i="1"/>
  <c r="K11" i="1"/>
  <c r="O10" i="1"/>
  <c r="O9" i="1"/>
  <c r="O8" i="1"/>
  <c r="O7" i="1"/>
  <c r="O6" i="1"/>
  <c r="M10" i="1"/>
  <c r="M9" i="1"/>
  <c r="M8" i="1"/>
  <c r="M7" i="1"/>
  <c r="I27" i="2" s="1"/>
  <c r="M6" i="1"/>
  <c r="K10" i="1"/>
  <c r="K9" i="1"/>
  <c r="K8" i="1"/>
  <c r="K7" i="1"/>
  <c r="K6" i="1"/>
  <c r="M3" i="1"/>
  <c r="M4" i="1"/>
  <c r="M5" i="1"/>
  <c r="M2" i="1"/>
  <c r="K3" i="1"/>
  <c r="K4" i="1"/>
  <c r="K5" i="1"/>
  <c r="K2" i="1"/>
  <c r="O2" i="1"/>
  <c r="Q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O3" i="1"/>
  <c r="O4" i="1"/>
  <c r="O5" i="1"/>
  <c r="AJ22" i="2" l="1"/>
  <c r="AK9" i="2"/>
  <c r="AK22" i="2" s="1"/>
  <c r="D7" i="6" s="1"/>
  <c r="G44" i="2"/>
  <c r="J28" i="2"/>
  <c r="M27" i="2"/>
  <c r="N27" i="2"/>
  <c r="R27" i="2"/>
  <c r="Q27" i="2"/>
  <c r="U27" i="2"/>
  <c r="I26" i="2"/>
  <c r="H44" i="2"/>
  <c r="J29" i="2"/>
  <c r="N28" i="2"/>
  <c r="R28" i="2"/>
  <c r="Q28" i="2"/>
  <c r="U28" i="2"/>
  <c r="J26" i="2"/>
  <c r="M29" i="2"/>
  <c r="N29" i="2"/>
  <c r="R29" i="2"/>
  <c r="Q29" i="2"/>
  <c r="U29" i="2"/>
  <c r="I28" i="2"/>
  <c r="J27" i="2"/>
  <c r="M26" i="2"/>
  <c r="I44" i="2"/>
  <c r="N26" i="2"/>
  <c r="R26" i="2"/>
  <c r="Q26" i="2"/>
  <c r="J44" i="2"/>
  <c r="U26" i="2"/>
  <c r="I29" i="2"/>
  <c r="Q39" i="2" l="1"/>
  <c r="C6" i="6" s="1"/>
  <c r="N39" i="2"/>
  <c r="D5" i="6" s="1"/>
  <c r="J39" i="2"/>
  <c r="D4" i="6" s="1"/>
  <c r="M39" i="2"/>
  <c r="C5" i="6" s="1"/>
  <c r="I39" i="2"/>
  <c r="C4" i="6" s="1"/>
  <c r="R39" i="2"/>
  <c r="D6" i="6" s="1"/>
  <c r="U39" i="2"/>
  <c r="C7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Shahebaz  Khan</author>
  </authors>
  <commentList>
    <comment ref="F486" authorId="0" shapeId="0" xr:uid="{EDD6DC6B-8073-42E4-AD86-918B622D2C36}">
      <text>
        <r>
          <rPr>
            <b/>
            <sz val="9"/>
            <color indexed="81"/>
            <rFont val="Tahoma"/>
            <family val="2"/>
          </rPr>
          <t>Shahebaz  Khan:</t>
        </r>
        <r>
          <rPr>
            <sz val="9"/>
            <color indexed="81"/>
            <rFont val="Tahoma"/>
            <family val="2"/>
          </rPr>
          <t xml:space="preserve">
12 pkt Milk Send WTC To Omicron XTS</t>
        </r>
      </text>
    </comment>
    <comment ref="F982" authorId="0" shapeId="0" xr:uid="{AD831E0E-12DD-48C0-AC14-478441041BCD}">
      <text>
        <r>
          <rPr>
            <b/>
            <sz val="9"/>
            <color indexed="81"/>
            <rFont val="Tahoma"/>
            <family val="2"/>
          </rPr>
          <t>Shahebaz  Khan:</t>
        </r>
        <r>
          <rPr>
            <sz val="9"/>
            <color indexed="81"/>
            <rFont val="Tahoma"/>
            <family val="2"/>
          </rPr>
          <t xml:space="preserve">
12 pkt Milk Send WTC To Omicron XTS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<sst xmlns="http://schemas.openxmlformats.org/spreadsheetml/2006/main" count="4046" uniqueCount="57">
  <si>
    <t>Particulars</t>
  </si>
  <si>
    <t>HSN</t>
  </si>
  <si>
    <t>Units</t>
  </si>
  <si>
    <t>Brand</t>
  </si>
  <si>
    <t>Rate</t>
  </si>
  <si>
    <t>Vendor</t>
  </si>
  <si>
    <t>Coffee beans</t>
  </si>
  <si>
    <t xml:space="preserve">Sugar Sachet White </t>
  </si>
  <si>
    <t>Stirrer</t>
  </si>
  <si>
    <t>Milk</t>
  </si>
  <si>
    <t>Kg</t>
  </si>
  <si>
    <t>Local</t>
  </si>
  <si>
    <t>Nos</t>
  </si>
  <si>
    <t>1ltr</t>
  </si>
  <si>
    <t>Good life</t>
  </si>
  <si>
    <t>Sumant Technotrade</t>
  </si>
  <si>
    <t>Date</t>
  </si>
  <si>
    <t>Usage Unit</t>
  </si>
  <si>
    <t>Usage Amt</t>
  </si>
  <si>
    <t>Opening Unit</t>
  </si>
  <si>
    <t>Opening Amt.</t>
  </si>
  <si>
    <t>Order Unit</t>
  </si>
  <si>
    <t>Order Amt</t>
  </si>
  <si>
    <t>Mnth</t>
  </si>
  <si>
    <t>Sr</t>
  </si>
  <si>
    <t>Company Name</t>
  </si>
  <si>
    <t>Opening</t>
  </si>
  <si>
    <t>Month</t>
  </si>
  <si>
    <t>Iteam Name</t>
  </si>
  <si>
    <t>Vendor Name</t>
  </si>
  <si>
    <t>Days</t>
  </si>
  <si>
    <t>Item Name</t>
  </si>
  <si>
    <t>Usage Day Wise</t>
  </si>
  <si>
    <t>Total</t>
  </si>
  <si>
    <t>Order</t>
  </si>
  <si>
    <t>Uages Amt</t>
  </si>
  <si>
    <t>Uages Unit</t>
  </si>
  <si>
    <t>Veebha</t>
  </si>
  <si>
    <t>Usage</t>
  </si>
  <si>
    <t>order</t>
  </si>
  <si>
    <t>Veebha Beverages</t>
  </si>
  <si>
    <t>Tea premix</t>
  </si>
  <si>
    <t>Coffee</t>
  </si>
  <si>
    <t>650ML</t>
  </si>
  <si>
    <t>ODM Service LLP</t>
  </si>
  <si>
    <t>Flavor Tea bag Flavored -Plain</t>
  </si>
  <si>
    <t>Flavor Tea bag Flavored -Cardamom</t>
  </si>
  <si>
    <t xml:space="preserve">Flavor Tea bag Flavored - Ginger </t>
  </si>
  <si>
    <t>Flavor Tea bag Flavored - Masal</t>
  </si>
  <si>
    <t>Coffee  beans Value Blend</t>
  </si>
  <si>
    <t>Flavor Tea bag  Lemon - Green</t>
  </si>
  <si>
    <t>box</t>
  </si>
  <si>
    <t xml:space="preserve">Kg </t>
  </si>
  <si>
    <t>Count</t>
  </si>
  <si>
    <t>Office Space Con.</t>
  </si>
  <si>
    <t>Digital Advice LLP</t>
  </si>
  <si>
    <t>OWT Pvt Ltd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</si>
</sst>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 * #,##0.00_ ;_ * \-#,##0.00_ ;_ * &quot;-&quot;??_ ;_ @_ "/>
    <numFmt numFmtId="164" formatCode="[$-14009]d\.m\.yy;@"/>
    <numFmt numFmtId="165" formatCode="* #,##0.00\ ;* \-#,##0.00\ ;* \-#\ ;@\ "/>
    <numFmt numFmtId="166" formatCode="#,##0\ ;\-#,##0\ ;\-#\ ;@\ "/>
    <numFmt numFmtId="167" formatCode="#,##0.00&quot; &quot;;&quot;-&quot;#,##0.00&quot; &quot;;&quot;-&quot;#&quot; &quot;;&quot; &quot;@&quot; &quot;"/>
    <numFmt numFmtId="168" formatCode="_(* #,##0.00_);_(* \(#,##0.00\);_(* \-??_);_(@_)"/>
    <numFmt numFmtId="169" formatCode="#,##0.00&quot; &quot;;&quot;-&quot;#,##0.00&quot; &quot;;&quot;-&quot;#&quot; &quot;;@&quot; &quot;"/>
    <numFmt numFmtId="170" formatCode="#,##0.00&quot; &quot;[$€-407];[Red]&quot;-&quot;#,##0.00&quot; &quot;[$€-407]"/>
    <numFmt numFmtId="171" formatCode="_ &quot;Rs.&quot;\ * #,##0.00_ ;_ &quot;Rs.&quot;\ * \-#,##0.00_ ;_ &quot;Rs.&quot;\ * &quot;-&quot;??_ ;_ @_ "/>
    <numFmt numFmtId="172" formatCode="_ * #,##0.00_ ;_ * \-#,##0.00_ ;_ * \-??_ ;_ @_ "/>
    <numFmt numFmtId="173" formatCode="_ * #,##0.0_ ;_ * \-#,##0.0_ ;_ * &quot;-&quot;??_ ;_ @_ 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  <charset val="1"/>
    </font>
    <font>
      <sz val="8"/>
      <color rgb="FF000000"/>
      <name val="Calibri"/>
      <family val="2"/>
      <charset val="1"/>
    </font>
    <font>
      <sz val="11"/>
      <color rgb="FF000000"/>
      <name val="Calibri1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8"/>
      <name val="Calibri"/>
      <family val="2"/>
      <charset val="1"/>
    </font>
    <font>
      <sz val="11"/>
      <color rgb="FF000000"/>
      <name val="Calibri"/>
      <family val="2"/>
    </font>
    <font>
      <b/>
      <i/>
      <sz val="16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Liberation Sans"/>
      <family val="2"/>
    </font>
    <font>
      <b/>
      <i/>
      <u/>
      <sz val="11"/>
      <color theme="1"/>
      <name val="Arial"/>
      <family val="2"/>
    </font>
    <font>
      <b/>
      <sz val="10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95">
    <xf numFmtId="0" fontId="0" fillId="0" borderId="0"/>
    <xf numFmtId="43" fontId="1" fillId="0" borderId="0" applyFont="0" applyFill="0" applyBorder="0" applyAlignment="0" applyProtection="0"/>
    <xf numFmtId="0" fontId="6" fillId="0" borderId="0"/>
    <xf numFmtId="165" fontId="6" fillId="0" borderId="0" applyBorder="0" applyProtection="0"/>
    <xf numFmtId="0" fontId="6" fillId="0" borderId="0"/>
    <xf numFmtId="167" fontId="8" fillId="0" borderId="0" applyBorder="0" applyProtection="0"/>
    <xf numFmtId="0" fontId="9" fillId="0" borderId="0"/>
    <xf numFmtId="168" fontId="9" fillId="0" borderId="0" applyFill="0" applyBorder="0" applyAlignment="0" applyProtection="0"/>
    <xf numFmtId="0" fontId="10" fillId="0" borderId="0"/>
    <xf numFmtId="0" fontId="11" fillId="0" borderId="0"/>
    <xf numFmtId="0" fontId="12" fillId="0" borderId="0" applyNumberFormat="0" applyBorder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69" fontId="12" fillId="0" borderId="0" applyBorder="0" applyProtection="0"/>
    <xf numFmtId="0" fontId="12" fillId="0" borderId="0"/>
    <xf numFmtId="165" fontId="6" fillId="0" borderId="0" applyBorder="0" applyProtection="0"/>
    <xf numFmtId="168" fontId="9" fillId="0" borderId="0" applyFill="0" applyBorder="0" applyAlignment="0" applyProtection="0"/>
    <xf numFmtId="9" fontId="8" fillId="3" borderId="0"/>
    <xf numFmtId="169" fontId="12" fillId="0" borderId="0"/>
    <xf numFmtId="167" fontId="8" fillId="0" borderId="0" applyBorder="0" applyProtection="0"/>
    <xf numFmtId="0" fontId="12" fillId="0" borderId="0" applyNumberFormat="0" applyBorder="0" applyProtection="0"/>
    <xf numFmtId="0" fontId="6" fillId="0" borderId="0"/>
    <xf numFmtId="0" fontId="13" fillId="0" borderId="0">
      <alignment horizontal="center"/>
    </xf>
    <xf numFmtId="0" fontId="13" fillId="0" borderId="0">
      <alignment horizontal="center" textRotation="90"/>
    </xf>
    <xf numFmtId="0" fontId="9" fillId="0" borderId="0"/>
    <xf numFmtId="0" fontId="10" fillId="0" borderId="0"/>
    <xf numFmtId="0" fontId="14" fillId="0" borderId="0"/>
    <xf numFmtId="0" fontId="11" fillId="0" borderId="0"/>
    <xf numFmtId="0" fontId="15" fillId="0" borderId="0"/>
    <xf numFmtId="0" fontId="15" fillId="0" borderId="0"/>
    <xf numFmtId="0" fontId="9" fillId="0" borderId="0"/>
    <xf numFmtId="0" fontId="14" fillId="0" borderId="0"/>
    <xf numFmtId="0" fontId="6" fillId="0" borderId="0"/>
    <xf numFmtId="9" fontId="6" fillId="0" borderId="0" applyBorder="0" applyProtection="0"/>
    <xf numFmtId="0" fontId="16" fillId="0" borderId="0"/>
    <xf numFmtId="170" fontId="16" fillId="0" borderId="0"/>
    <xf numFmtId="0" fontId="1" fillId="0" borderId="0"/>
    <xf numFmtId="43" fontId="1" fillId="0" borderId="0" applyFont="0" applyFill="0" applyBorder="0" applyAlignment="0" applyProtection="0"/>
    <xf numFmtId="171" fontId="6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72" fontId="10" fillId="0" borderId="0" applyFill="0" applyBorder="0" applyAlignment="0" applyProtection="0"/>
    <xf numFmtId="0" fontId="9" fillId="0" borderId="0"/>
    <xf numFmtId="171" fontId="1" fillId="0" borderId="0" applyFont="0" applyFill="0" applyBorder="0" applyAlignment="0" applyProtection="0"/>
    <xf numFmtId="0" fontId="6" fillId="0" borderId="0"/>
    <xf numFmtId="165" fontId="6" fillId="0" borderId="0" applyBorder="0" applyProtection="0"/>
    <xf numFmtId="43" fontId="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6" fillId="0" borderId="0"/>
    <xf numFmtId="0" fontId="1" fillId="0" borderId="0"/>
    <xf numFmtId="43" fontId="1" fillId="0" borderId="0" applyFont="0" applyFill="0" applyBorder="0" applyAlignment="0" applyProtection="0"/>
  </cellStyleXfs>
  <cellXfs count="81">
    <xf numFmtId="0" fontId="0" fillId="0" borderId="0" xfId="0"/>
    <xf numFmtId="14" fontId="0" fillId="0" borderId="0" xfId="0" applyNumberFormat="1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7" fontId="3" fillId="0" borderId="0" xfId="0" applyNumberFormat="1" applyFont="1" applyAlignment="1" applyProtection="1">
      <alignment vertical="center"/>
      <protection locked="0"/>
    </xf>
    <xf numFmtId="17" fontId="0" fillId="0" borderId="0" xfId="0" applyNumberFormat="1" applyAlignment="1" applyProtection="1">
      <alignment vertical="center"/>
      <protection locked="0"/>
    </xf>
    <xf numFmtId="0" fontId="0" fillId="0" borderId="1" xfId="0" applyBorder="1" applyAlignment="1">
      <alignment horizontal="center" vertical="center"/>
    </xf>
    <xf numFmtId="166" fontId="7" fillId="0" borderId="1" xfId="0" applyNumberFormat="1" applyFont="1" applyBorder="1" applyAlignment="1">
      <alignment horizontal="center"/>
    </xf>
    <xf numFmtId="14" fontId="4" fillId="0" borderId="18" xfId="0" applyNumberFormat="1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164" fontId="4" fillId="0" borderId="13" xfId="0" applyNumberFormat="1" applyFont="1" applyBorder="1" applyAlignment="1">
      <alignment horizontal="center" vertical="center"/>
    </xf>
    <xf numFmtId="0" fontId="0" fillId="4" borderId="0" xfId="0" applyFill="1"/>
    <xf numFmtId="14" fontId="4" fillId="0" borderId="25" xfId="0" applyNumberFormat="1" applyFont="1" applyBorder="1" applyAlignment="1">
      <alignment horizontal="center" vertical="center"/>
    </xf>
    <xf numFmtId="173" fontId="0" fillId="4" borderId="24" xfId="1" applyNumberFormat="1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 wrapText="1"/>
    </xf>
    <xf numFmtId="0" fontId="2" fillId="4" borderId="0" xfId="0" applyFont="1" applyFill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173" fontId="0" fillId="0" borderId="1" xfId="1" applyNumberFormat="1" applyFont="1" applyBorder="1" applyAlignment="1">
      <alignment horizontal="center" vertical="center"/>
    </xf>
    <xf numFmtId="173" fontId="0" fillId="0" borderId="16" xfId="1" applyNumberFormat="1" applyFont="1" applyBorder="1" applyAlignment="1">
      <alignment horizontal="center" vertical="center"/>
    </xf>
    <xf numFmtId="17" fontId="2" fillId="4" borderId="7" xfId="0" applyNumberFormat="1" applyFont="1" applyFill="1" applyBorder="1" applyAlignment="1" applyProtection="1">
      <alignment horizontal="center" vertical="center"/>
      <protection locked="0"/>
    </xf>
    <xf numFmtId="43" fontId="0" fillId="0" borderId="0" xfId="0" applyNumberFormat="1" applyAlignment="1">
      <alignment horizontal="center" vertical="center"/>
    </xf>
    <xf numFmtId="17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2" fillId="0" borderId="0" xfId="0" applyFont="1" applyAlignment="1">
      <alignment vertical="center" wrapText="1"/>
    </xf>
    <xf numFmtId="1" fontId="0" fillId="0" borderId="31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33" xfId="0" applyNumberFormat="1" applyBorder="1" applyAlignment="1">
      <alignment horizontal="center" vertical="center"/>
    </xf>
    <xf numFmtId="43" fontId="4" fillId="4" borderId="1" xfId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2" borderId="0" xfId="0" applyFont="1" applyFill="1" applyAlignment="1">
      <alignment horizontal="left" vertical="center"/>
    </xf>
    <xf numFmtId="0" fontId="2" fillId="4" borderId="17" xfId="0" applyFont="1" applyFill="1" applyBorder="1" applyAlignment="1">
      <alignment horizontal="left" vertical="center"/>
    </xf>
    <xf numFmtId="0" fontId="2" fillId="4" borderId="15" xfId="0" applyFont="1" applyFill="1" applyBorder="1" applyAlignment="1">
      <alignment horizontal="left" vertical="center"/>
    </xf>
    <xf numFmtId="0" fontId="2" fillId="4" borderId="8" xfId="0" applyFont="1" applyFill="1" applyBorder="1" applyAlignment="1">
      <alignment horizontal="left" vertical="center" wrapText="1"/>
    </xf>
    <xf numFmtId="0" fontId="2" fillId="4" borderId="11" xfId="0" applyFont="1" applyFill="1" applyBorder="1" applyAlignment="1">
      <alignment horizontal="left" vertical="center" wrapText="1"/>
    </xf>
    <xf numFmtId="0" fontId="2" fillId="4" borderId="2" xfId="0" applyFont="1" applyFill="1" applyBorder="1" applyAlignment="1">
      <alignment horizontal="left" vertical="center"/>
    </xf>
    <xf numFmtId="0" fontId="2" fillId="5" borderId="2" xfId="0" applyFont="1" applyFill="1" applyBorder="1" applyAlignment="1">
      <alignment horizontal="left" vertical="center"/>
    </xf>
    <xf numFmtId="0" fontId="2" fillId="6" borderId="2" xfId="0" applyFont="1" applyFill="1" applyBorder="1" applyAlignment="1">
      <alignment horizontal="left" vertical="center"/>
    </xf>
    <xf numFmtId="0" fontId="4" fillId="0" borderId="15" xfId="0" applyFont="1" applyBorder="1" applyAlignment="1">
      <alignment horizontal="left" vertical="center"/>
    </xf>
    <xf numFmtId="0" fontId="17" fillId="2" borderId="15" xfId="0" applyFont="1" applyFill="1" applyBorder="1" applyAlignment="1">
      <alignment horizontal="left" vertical="center"/>
    </xf>
    <xf numFmtId="0" fontId="17" fillId="2" borderId="20" xfId="0" applyFont="1" applyFill="1" applyBorder="1" applyAlignment="1">
      <alignment horizontal="left" vertical="center"/>
    </xf>
    <xf numFmtId="0" fontId="17" fillId="4" borderId="6" xfId="0" applyFont="1" applyFill="1" applyBorder="1" applyAlignment="1">
      <alignment horizontal="left" vertical="center" wrapText="1"/>
    </xf>
    <xf numFmtId="0" fontId="17" fillId="4" borderId="5" xfId="0" applyFont="1" applyFill="1" applyBorder="1" applyAlignment="1">
      <alignment horizontal="center" vertical="center" wrapText="1"/>
    </xf>
    <xf numFmtId="0" fontId="17" fillId="4" borderId="22" xfId="0" applyFont="1" applyFill="1" applyBorder="1" applyAlignment="1">
      <alignment horizontal="center" vertical="center" wrapText="1"/>
    </xf>
    <xf numFmtId="0" fontId="17" fillId="4" borderId="28" xfId="0" applyFont="1" applyFill="1" applyBorder="1" applyAlignment="1">
      <alignment horizontal="center" vertical="center" wrapText="1"/>
    </xf>
    <xf numFmtId="0" fontId="17" fillId="5" borderId="7" xfId="0" applyFont="1" applyFill="1" applyBorder="1" applyAlignment="1">
      <alignment horizontal="center" vertical="center" wrapText="1"/>
    </xf>
    <xf numFmtId="0" fontId="17" fillId="5" borderId="29" xfId="0" applyFont="1" applyFill="1" applyBorder="1" applyAlignment="1">
      <alignment horizontal="center" vertical="center" wrapText="1"/>
    </xf>
    <xf numFmtId="0" fontId="17" fillId="4" borderId="23" xfId="0" applyFont="1" applyFill="1" applyBorder="1" applyAlignment="1">
      <alignment horizontal="center" vertical="center" wrapText="1"/>
    </xf>
    <xf numFmtId="0" fontId="17" fillId="4" borderId="21" xfId="0" applyFont="1" applyFill="1" applyBorder="1" applyAlignment="1">
      <alignment horizontal="center" vertical="center" wrapText="1"/>
    </xf>
    <xf numFmtId="0" fontId="17" fillId="4" borderId="14" xfId="0" applyFont="1" applyFill="1" applyBorder="1" applyAlignment="1">
      <alignment horizontal="center" vertical="center" wrapText="1"/>
    </xf>
    <xf numFmtId="166" fontId="7" fillId="0" borderId="10" xfId="2" applyNumberFormat="1" applyFont="1" applyBorder="1" applyAlignment="1">
      <alignment horizontal="center"/>
    </xf>
    <xf numFmtId="0" fontId="2" fillId="7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20" fillId="4" borderId="0" xfId="0" applyFont="1" applyFill="1" applyAlignment="1">
      <alignment vertical="center"/>
    </xf>
    <xf numFmtId="17" fontId="20" fillId="4" borderId="0" xfId="0" applyNumberFormat="1" applyFont="1" applyFill="1" applyAlignment="1" applyProtection="1">
      <alignment horizontal="right" vertical="center"/>
      <protection locked="0"/>
    </xf>
    <xf numFmtId="173" fontId="2" fillId="4" borderId="4" xfId="0" applyNumberFormat="1" applyFont="1" applyFill="1" applyBorder="1"/>
    <xf numFmtId="0" fontId="2" fillId="4" borderId="2" xfId="0" applyFont="1" applyFill="1" applyBorder="1"/>
    <xf numFmtId="173" fontId="2" fillId="4" borderId="3" xfId="0" applyNumberFormat="1" applyFont="1" applyFill="1" applyBorder="1"/>
    <xf numFmtId="0" fontId="2" fillId="4" borderId="19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17" fontId="2" fillId="4" borderId="26" xfId="0" applyNumberFormat="1" applyFont="1" applyFill="1" applyBorder="1" applyAlignment="1">
      <alignment horizontal="center" vertical="center"/>
    </xf>
    <xf numFmtId="17" fontId="2" fillId="4" borderId="27" xfId="0" applyNumberFormat="1" applyFont="1" applyFill="1" applyBorder="1" applyAlignment="1">
      <alignment horizontal="center" vertical="center"/>
    </xf>
    <xf numFmtId="17" fontId="2" fillId="4" borderId="30" xfId="0" applyNumberFormat="1" applyFont="1" applyFill="1" applyBorder="1" applyAlignment="1">
      <alignment horizontal="center" vertical="center"/>
    </xf>
    <xf numFmtId="17" fontId="2" fillId="4" borderId="26" xfId="0" applyNumberFormat="1" applyFont="1" applyFill="1" applyBorder="1" applyAlignment="1">
      <alignment horizontal="center" vertical="center" wrapText="1"/>
    </xf>
    <xf numFmtId="17" fontId="2" fillId="4" borderId="27" xfId="0" applyNumberFormat="1" applyFont="1" applyFill="1" applyBorder="1" applyAlignment="1">
      <alignment horizontal="center" vertical="center" wrapText="1"/>
    </xf>
    <xf numFmtId="17" fontId="2" fillId="4" borderId="30" xfId="0" applyNumberFormat="1" applyFont="1" applyFill="1" applyBorder="1" applyAlignment="1">
      <alignment horizontal="center" vertical="center" wrapText="1"/>
    </xf>
    <xf numFmtId="0" fontId="2" fillId="4" borderId="22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17" fontId="5" fillId="0" borderId="2" xfId="0" applyNumberFormat="1" applyFont="1" applyBorder="1" applyAlignment="1" applyProtection="1">
      <alignment horizontal="center" vertical="center"/>
      <protection locked="0"/>
    </xf>
    <xf numFmtId="17" fontId="5" fillId="0" borderId="3" xfId="0" applyNumberFormat="1" applyFont="1" applyBorder="1" applyAlignment="1" applyProtection="1">
      <alignment horizontal="center" vertical="center"/>
      <protection locked="0"/>
    </xf>
    <xf numFmtId="17" fontId="5" fillId="0" borderId="4" xfId="0" applyNumberFormat="1" applyFont="1" applyBorder="1" applyAlignment="1" applyProtection="1">
      <alignment horizontal="center" vertical="center"/>
      <protection locked="0"/>
    </xf>
    <xf numFmtId="0" fontId="2" fillId="4" borderId="0" xfId="0" applyFont="1" applyFill="1" applyAlignment="1">
      <alignment horizontal="center" vertical="center" textRotation="90"/>
    </xf>
    <xf numFmtId="0" fontId="20" fillId="4" borderId="0" xfId="0" applyFont="1" applyFill="1" applyAlignment="1">
      <alignment horizontal="left" vertical="center"/>
    </xf>
  </cellXfs>
  <cellStyles count="95">
    <cellStyle name="Comma" xfId="1" builtinId="3"/>
    <cellStyle name="Comma 10" xfId="3" xr:uid="{A3E26D27-F32C-4615-B7F5-5D6F13E9C496}"/>
    <cellStyle name="Comma 2" xfId="7" xr:uid="{E5A31E0A-DD00-4718-B92E-589A519B2807}"/>
    <cellStyle name="Comma 2 2" xfId="18" xr:uid="{2044B1CA-80A8-42B4-832B-D4FF75BE6EDD}"/>
    <cellStyle name="Comma 2 3" xfId="17" xr:uid="{19FBA8B6-2711-40F2-A9A1-65B3E2BA7E10}"/>
    <cellStyle name="Comma 2 4" xfId="43" xr:uid="{339FAE85-EC37-42D2-8261-ED458078F901}"/>
    <cellStyle name="Comma 3" xfId="12" xr:uid="{8520DCB7-707A-416D-ABC4-7085A5EDDEC8}"/>
    <cellStyle name="Comma 3 2" xfId="39" xr:uid="{D0DFBAFE-5044-4A6C-82F3-11F6FA22C4EA}"/>
    <cellStyle name="Comma 3 2 2" xfId="50" xr:uid="{071C4778-87B8-40E7-98D8-3EA5C8099A5D}"/>
    <cellStyle name="Comma 3 2 2 2" xfId="62" xr:uid="{D0A478C0-8DFD-4592-A3BA-7C5666ADD999}"/>
    <cellStyle name="Comma 3 2 2 3" xfId="77" xr:uid="{1D28D8ED-F414-40CE-9F3D-74F610174852}"/>
    <cellStyle name="Comma 3 2 2 4" xfId="89" xr:uid="{442F6BBD-4B7E-4965-BDBD-FABB0EE05252}"/>
    <cellStyle name="Comma 3 2 3" xfId="56" xr:uid="{336FB0EE-D889-482F-AC8A-CCD66A64BA16}"/>
    <cellStyle name="Comma 3 2 4" xfId="71" xr:uid="{B4D32A5F-D441-460E-9B44-FB701F4EC232}"/>
    <cellStyle name="Comma 3 2 5" xfId="83" xr:uid="{1114344C-D62F-4BD8-835E-BE377EBD0623}"/>
    <cellStyle name="Comma 3 3" xfId="47" xr:uid="{FDEA76C5-D83B-4415-8619-4BDC880DB5DB}"/>
    <cellStyle name="Comma 3 4" xfId="52" xr:uid="{F24BA8DC-FF97-422F-B1FC-E65B92090C38}"/>
    <cellStyle name="Comma 3 5" xfId="67" xr:uid="{A14C4D0F-2B66-475A-8A3D-2ED886B1085E}"/>
    <cellStyle name="Comma 3 6" xfId="79" xr:uid="{727D417E-F726-4CA9-98AC-BFD36D2FCBB3}"/>
    <cellStyle name="Comma 4" xfId="14" xr:uid="{BA7F1A8C-239E-49FA-AAD4-D5D333838602}"/>
    <cellStyle name="Comma 4 2" xfId="48" xr:uid="{FDE0F0E5-D0F9-4054-9B0C-E4BFE4D7F544}"/>
    <cellStyle name="Comma 4 2 2" xfId="60" xr:uid="{4098D2E4-B6F1-451B-AAF2-214AA0ACF5BC}"/>
    <cellStyle name="Comma 4 2 3" xfId="75" xr:uid="{B7B3EA75-DDD3-4D6A-888F-6474FB42FF68}"/>
    <cellStyle name="Comma 4 2 4" xfId="87" xr:uid="{284F3FB8-78BD-4F94-A245-D7E38818D722}"/>
    <cellStyle name="Comma 4 3" xfId="54" xr:uid="{441080EE-89C7-435A-B0C3-5A5DC342207C}"/>
    <cellStyle name="Comma 4 4" xfId="69" xr:uid="{B2A6F506-B97B-46AF-93A8-DCC225752A75}"/>
    <cellStyle name="Comma 4 5" xfId="81" xr:uid="{B7A4F271-064F-41BD-BDCB-DC83463C0B83}"/>
    <cellStyle name="Comma 5" xfId="49" xr:uid="{F536D81E-67A3-400A-9106-ACD676135D2E}"/>
    <cellStyle name="Comma 5 2" xfId="61" xr:uid="{F3F4ADF9-CC0F-49E1-8F20-102027A8E4CB}"/>
    <cellStyle name="Comma 5 3" xfId="76" xr:uid="{DC1AE464-0E51-4C75-A2FC-C7F1660FB036}"/>
    <cellStyle name="Comma 5 4" xfId="88" xr:uid="{5E4EC6B2-AF67-40B9-A41F-A44F6E1CEC5B}"/>
    <cellStyle name="Comma 6" xfId="42" xr:uid="{C75138FC-D509-4736-AF73-45467B654EC3}"/>
    <cellStyle name="Comma 6 2" xfId="58" xr:uid="{6F5ADFB1-43A8-4760-B22D-4F783ECDC058}"/>
    <cellStyle name="Comma 6 3" xfId="73" xr:uid="{02A9424A-0AC7-4978-8537-4474B021E59F}"/>
    <cellStyle name="Comma 6 4" xfId="85" xr:uid="{6A1C35FD-5C2C-4693-8342-C788C12108D2}"/>
    <cellStyle name="Comma 7" xfId="64" xr:uid="{2AF49554-50B2-424F-9500-BF65464A794B}"/>
    <cellStyle name="Comma 8" xfId="91" xr:uid="{4974AD99-6992-4991-A1FC-D3A1BDB7FACA}"/>
    <cellStyle name="Comma 9" xfId="94" xr:uid="{12C38B07-4579-435B-9746-B336A69C9F4E}"/>
    <cellStyle name="ConditionalStyle_1" xfId="19" xr:uid="{E54A21A7-2F6F-4F5C-88F9-726576BF2D0E}"/>
    <cellStyle name="Currency 2" xfId="40" xr:uid="{67142757-2E8B-4B20-81C9-8A227A708F28}"/>
    <cellStyle name="Currency 3" xfId="45" xr:uid="{83C9C1E7-930A-4152-A9C9-9308D27DA417}"/>
    <cellStyle name="Currency 3 2" xfId="59" xr:uid="{41EEAEF8-E639-4913-939A-F00D819C57A1}"/>
    <cellStyle name="Currency 3 3" xfId="74" xr:uid="{F97912D4-5661-41C1-A2A1-0154EE68F8C6}"/>
    <cellStyle name="Currency 3 4" xfId="86" xr:uid="{12D315BC-277E-42F1-93E1-B877E2E5E2E6}"/>
    <cellStyle name="Excel Built-in Comma" xfId="5" xr:uid="{9533D4C7-063D-49C2-AC7F-43CC1E1DA05E}"/>
    <cellStyle name="Excel Built-in Comma 2" xfId="20" xr:uid="{672C0853-2EE9-4225-8381-921B4EF98A39}"/>
    <cellStyle name="Excel Built-in Comma 3" xfId="21" xr:uid="{E95E1626-2451-442A-AD33-54909D440354}"/>
    <cellStyle name="Excel Built-in Comma 4" xfId="15" xr:uid="{2E9F6739-A862-486E-A3EC-1DCAACFE4E37}"/>
    <cellStyle name="Excel Built-in Explanatory Text" xfId="10" xr:uid="{BB821578-DDF8-46E8-A065-E872E7BEF56A}"/>
    <cellStyle name="Excel Built-in Explanatory Text 2" xfId="22" xr:uid="{E89F3126-1BD8-4C43-B321-1AAE61CDBCAB}"/>
    <cellStyle name="Excel Built-in Explanatory Text 3" xfId="16" xr:uid="{F06CF002-1015-4761-BA84-867D61235BDF}"/>
    <cellStyle name="Explanatory Text 2" xfId="23" xr:uid="{D86B493D-C64D-47BE-A00B-AB0A2193F25C}"/>
    <cellStyle name="Explanatory Text 3" xfId="4" xr:uid="{810C59F2-36B4-4C7F-8010-7E8B36A3CA92}"/>
    <cellStyle name="Heading" xfId="24" xr:uid="{39495FBA-40E6-460C-9BC8-5B5202D4B85C}"/>
    <cellStyle name="Heading1" xfId="25" xr:uid="{4039D179-6776-4854-95C9-59FC6DF28F5A}"/>
    <cellStyle name="Normal" xfId="0" builtinId="0"/>
    <cellStyle name="Normal 10" xfId="63" xr:uid="{3B052D72-0FD2-45A4-9A5B-6ACF32E52ADA}"/>
    <cellStyle name="Normal 11" xfId="65" xr:uid="{CF77723E-304A-463B-A702-B52F6ED2FE2B}"/>
    <cellStyle name="Normal 12" xfId="90" xr:uid="{7146979B-DE16-45D8-AA6D-0358BA3F8449}"/>
    <cellStyle name="Normal 13" xfId="92" xr:uid="{15521FD5-E28B-4328-BB2F-82D552C51A1E}"/>
    <cellStyle name="Normal 14" xfId="93" xr:uid="{F1DF08CB-486D-41B7-9BCD-E47BB8517E29}"/>
    <cellStyle name="Normal 15" xfId="2" xr:uid="{C1256AF7-B275-4AB0-9A59-90496BC7D51C}"/>
    <cellStyle name="Normal 2" xfId="8" xr:uid="{0BA90FF2-EEDD-4103-8C24-1781D41AC4EC}"/>
    <cellStyle name="Normal 2 2" xfId="27" xr:uid="{5A795A09-F160-4D7E-A175-6E5D15992802}"/>
    <cellStyle name="Normal 2 3" xfId="26" xr:uid="{732931DD-0E70-43FC-8089-CD1A6481F15B}"/>
    <cellStyle name="Normal 3" xfId="9" xr:uid="{EC2DBB4E-3680-4959-A8FC-1044A2D6A961}"/>
    <cellStyle name="Normal 3 2" xfId="29" xr:uid="{6847EBB6-17CC-4FD8-BDBC-AEB85BE3EB34}"/>
    <cellStyle name="Normal 3 3" xfId="28" xr:uid="{33731B39-30F5-4E28-B490-7E3D091FB8A9}"/>
    <cellStyle name="Normal 4" xfId="6" xr:uid="{9E73A36A-58AB-4011-B7F5-5B41D3338080}"/>
    <cellStyle name="Normal 4 2" xfId="31" xr:uid="{AC0F0F97-1BEC-47A2-9005-97A9190DE8E0}"/>
    <cellStyle name="Normal 4 3" xfId="32" xr:uid="{33743530-F369-484A-9998-DF6FD271D79A}"/>
    <cellStyle name="Normal 4 4" xfId="30" xr:uid="{94BEA641-EB43-4606-A469-024F00DED888}"/>
    <cellStyle name="Normal 4 5" xfId="46" xr:uid="{B84B8B6B-FF88-4C16-B54B-F0FE3040BE40}"/>
    <cellStyle name="Normal 5" xfId="11" xr:uid="{9E1A9D98-E858-40FD-BBA5-445714370E17}"/>
    <cellStyle name="Normal 5 2" xfId="33" xr:uid="{D7BD35D5-1762-4AB2-BE1B-1598A640CFE1}"/>
    <cellStyle name="Normal 5 3" xfId="38" xr:uid="{6B4FB551-20A1-4F0A-A1B3-C7B431B7A02E}"/>
    <cellStyle name="Normal 5 3 2" xfId="55" xr:uid="{5927F529-79C0-4E68-9C76-D4C58E36515A}"/>
    <cellStyle name="Normal 5 3 3" xfId="70" xr:uid="{44D7A31C-43CD-4DAC-A983-EBC8B7DBC8D0}"/>
    <cellStyle name="Normal 5 3 4" xfId="82" xr:uid="{51D8F7D4-3C2D-4A99-8E37-F7DEC594CD50}"/>
    <cellStyle name="Normal 5 4" xfId="51" xr:uid="{86F17C09-ACD4-4451-B7E9-92F6B24335F6}"/>
    <cellStyle name="Normal 5 5" xfId="66" xr:uid="{920E9C10-3912-4D91-B12E-8F1979CAF51E}"/>
    <cellStyle name="Normal 5 6" xfId="78" xr:uid="{B84B02BF-ADD5-4CFD-9923-C7BCBE8BE59D}"/>
    <cellStyle name="Normal 6" xfId="34" xr:uid="{BDE6923F-C4F9-4C0E-8748-20DA22F30636}"/>
    <cellStyle name="Normal 7" xfId="13" xr:uid="{3BED0761-486C-4CA7-9210-1344278EE148}"/>
    <cellStyle name="Normal 7 2" xfId="53" xr:uid="{33C18904-D124-472C-B936-144615B65419}"/>
    <cellStyle name="Normal 7 3" xfId="68" xr:uid="{966D5014-677D-43EA-B980-CD2F466D2843}"/>
    <cellStyle name="Normal 7 4" xfId="80" xr:uid="{14EA5AA1-3993-42BC-B86B-22B27B70A861}"/>
    <cellStyle name="Normal 8" xfId="41" xr:uid="{3E608611-8005-4490-BD43-6D28ADEA8D8D}"/>
    <cellStyle name="Normal 8 2" xfId="57" xr:uid="{0A1ADBCB-E7E5-42F2-BC76-50EBF301A3F8}"/>
    <cellStyle name="Normal 8 3" xfId="72" xr:uid="{C480E408-02F1-4ECC-B471-4F4F0891F80D}"/>
    <cellStyle name="Normal 8 4" xfId="84" xr:uid="{A6DF69BB-AF50-4F09-A664-7A1FC5FA4854}"/>
    <cellStyle name="Normal 9" xfId="44" xr:uid="{9687DBBC-3EE4-4CA4-B5EA-4C793E194B0F}"/>
    <cellStyle name="Percent 2" xfId="35" xr:uid="{6C071BB0-5265-4334-BF3C-3E90797DF705}"/>
    <cellStyle name="Result" xfId="36" xr:uid="{23F924BE-C11D-4D5F-BECB-951F572739EC}"/>
    <cellStyle name="Result2" xfId="37" xr:uid="{4068C49C-FA01-4CCC-84AC-6E42A7AD3BE9}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="1"/>
              <a:t>Yearly Vendor's Wise Chat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3199222181269255E-2"/>
          <c:y val="0.42819508440962595"/>
          <c:w val="0.97360155563746154"/>
          <c:h val="0.461503239384069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DashBoard!$D$43:$O$43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DashBoard!$D$44:$O$44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19662.599999999999</c:v>
                </c:pt>
                <c:pt idx="4">
                  <c:v>39698.959999999999</c:v>
                </c:pt>
                <c:pt idx="5">
                  <c:v>12961</c:v>
                </c:pt>
                <c:pt idx="6">
                  <c:v>34093.4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25-4B45-9408-EC1B4BAE0D8B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DashBoard!$D$43:$O$43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DashBoard!$D$45:$O$45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41600</c:v>
                </c:pt>
                <c:pt idx="4">
                  <c:v>48000</c:v>
                </c:pt>
                <c:pt idx="5">
                  <c:v>57600</c:v>
                </c:pt>
                <c:pt idx="6">
                  <c:v>113600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25-4B45-9408-EC1B4BAE0D8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22625888"/>
        <c:axId val="222651328"/>
      </c:barChart>
      <c:dateAx>
        <c:axId val="22262588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2651328"/>
        <c:crosses val="autoZero"/>
        <c:auto val="1"/>
        <c:lblOffset val="100"/>
        <c:baseTimeUnit val="months"/>
      </c:dateAx>
      <c:valAx>
        <c:axId val="222651328"/>
        <c:scaling>
          <c:orientation val="minMax"/>
        </c:scaling>
        <c:delete val="1"/>
        <c:axPos val="l"/>
        <c:numFmt formatCode="_(* #,##0.00_);_(* \(#,##0.00\);_(* &quot;-&quot;??_);_(@_)" sourceLinked="1"/>
        <c:majorTickMark val="none"/>
        <c:minorTickMark val="none"/>
        <c:tickLblPos val="nextTo"/>
        <c:crossAx val="222625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85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="1"/>
              <a:t>Order / Usage</a:t>
            </a:r>
            <a:r>
              <a:rPr lang="en-IN" b="1" baseline="0"/>
              <a:t> </a:t>
            </a:r>
            <a:endParaRPr lang="en-IN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>
        <c:manualLayout>
          <c:layoutTarget val="inner"/>
          <c:xMode val="edge"/>
          <c:yMode val="edge"/>
          <c:x val="3.0555555555555555E-2"/>
          <c:y val="0.26893518518518517"/>
          <c:w val="0.93888888888888888"/>
          <c:h val="0.517762102653834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'Pivrot Chat'!$C$3</c:f>
              <c:strCache>
                <c:ptCount val="1"/>
                <c:pt idx="0">
                  <c:v>order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'Pivrot Chat'!$B$4:$B$8</c:f>
              <c:numCache>
                <c:formatCode>mmm\-yy</c:formatCode>
                <c:ptCount val="5"/>
                <c:pt idx="0">
                  <c:v>45413</c:v>
                </c:pt>
                <c:pt idx="1">
                  <c:v>45444</c:v>
                </c:pt>
                <c:pt idx="2">
                  <c:v>45474</c:v>
                </c:pt>
                <c:pt idx="3">
                  <c:v>45505</c:v>
                </c:pt>
              </c:numCache>
            </c:numRef>
          </c:cat>
          <c:val>
            <c:numRef>
              <c:f>'Pivrot Chat'!$C$4:$C$8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B7-4783-BD19-C485859FED3A}"/>
            </c:ext>
          </c:extLst>
        </c:ser>
        <c:ser>
          <c:idx val="1"/>
          <c:order val="1"/>
          <c:tx>
            <c:strRef>
              <c:f>'Pivrot Chat'!$D$3</c:f>
              <c:strCache>
                <c:ptCount val="1"/>
                <c:pt idx="0">
                  <c:v>Usage</c:v>
                </c:pt>
              </c:strCache>
            </c:strRef>
          </c:tx>
          <c:spPr>
            <a:pattFill prst="lgCheck">
              <a:fgClr>
                <a:schemeClr val="accent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'Pivrot Chat'!$B$4:$B$8</c:f>
              <c:numCache>
                <c:formatCode>mmm\-yy</c:formatCode>
                <c:ptCount val="5"/>
                <c:pt idx="0">
                  <c:v>45413</c:v>
                </c:pt>
                <c:pt idx="1">
                  <c:v>45444</c:v>
                </c:pt>
                <c:pt idx="2">
                  <c:v>45474</c:v>
                </c:pt>
                <c:pt idx="3">
                  <c:v>45505</c:v>
                </c:pt>
              </c:numCache>
            </c:numRef>
          </c:cat>
          <c:val>
            <c:numRef>
              <c:f>'Pivrot Chat'!$D$4:$D$8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B7-4783-BD19-C485859FED3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49823567"/>
        <c:axId val="257935135"/>
      </c:barChart>
      <c:dateAx>
        <c:axId val="349823567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7935135"/>
        <c:crosses val="autoZero"/>
        <c:auto val="1"/>
        <c:lblOffset val="100"/>
        <c:baseTimeUnit val="months"/>
      </c:dateAx>
      <c:valAx>
        <c:axId val="25793513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498235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285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409013</xdr:colOff>
      <xdr:row>39</xdr:row>
      <xdr:rowOff>169208</xdr:rowOff>
    </xdr:from>
    <xdr:to>
      <xdr:col>36</xdr:col>
      <xdr:colOff>302558</xdr:colOff>
      <xdr:row>54</xdr:row>
      <xdr:rowOff>10085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6D19058-4B2A-4271-6472-E35A3EA6FB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238125</xdr:colOff>
      <xdr:row>22</xdr:row>
      <xdr:rowOff>161925</xdr:rowOff>
    </xdr:from>
    <xdr:to>
      <xdr:col>36</xdr:col>
      <xdr:colOff>333375</xdr:colOff>
      <xdr:row>39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A148CB-9315-4257-9A9B-2CE07FEF5F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5E4B56-1258-48BB-A4A5-313AA3AACDFB}">
  <sheetPr>
    <pageSetUpPr fitToPage="1"/>
  </sheetPr>
  <dimension ref="A1:AL76"/>
  <sheetViews>
    <sheetView showGridLines="0" tabSelected="1" zoomScale="85" zoomScaleNormal="85" zoomScaleSheetLayoutView="70" workbookViewId="0">
      <selection activeCell="M6" sqref="M6"/>
    </sheetView>
  </sheetViews>
  <sheetFormatPr defaultColWidth="0" defaultRowHeight="15" zeroHeight="1"/>
  <cols>
    <col min="1" max="1" width="2.28515625" customWidth="1"/>
    <col min="2" max="2" width="3.7109375" bestFit="1" customWidth="1"/>
    <col min="3" max="3" width="30" style="34" bestFit="1" customWidth="1"/>
    <col min="4" max="4" width="6.5703125" bestFit="1" customWidth="1"/>
    <col min="5" max="5" width="9.140625" bestFit="1" customWidth="1"/>
    <col min="6" max="6" width="7.28515625" bestFit="1" customWidth="1"/>
    <col min="7" max="9" width="9.7109375" bestFit="1" customWidth="1"/>
    <col min="10" max="10" width="11.140625" bestFit="1" customWidth="1"/>
    <col min="11" max="11" width="7.140625" bestFit="1" customWidth="1"/>
    <col min="12" max="12" width="7" bestFit="1" customWidth="1"/>
    <col min="13" max="13" width="6.7109375" bestFit="1" customWidth="1"/>
    <col min="14" max="14" width="9" bestFit="1" customWidth="1"/>
    <col min="15" max="15" width="7" bestFit="1" customWidth="1"/>
    <col min="16" max="17" width="6.85546875" bestFit="1" customWidth="1"/>
    <col min="18" max="18" width="9" bestFit="1" customWidth="1"/>
    <col min="19" max="19" width="7.5703125" bestFit="1" customWidth="1"/>
    <col min="20" max="33" width="6.85546875" bestFit="1" customWidth="1"/>
    <col min="34" max="34" width="6.85546875" customWidth="1"/>
    <col min="35" max="35" width="6.85546875" bestFit="1" customWidth="1"/>
    <col min="36" max="36" width="8" bestFit="1" customWidth="1"/>
    <col min="37" max="37" width="9" bestFit="1" customWidth="1"/>
    <col min="38" max="38" width="3.5703125" customWidth="1"/>
    <col min="39" max="16384" width="9.140625" hidden="1"/>
  </cols>
  <sheetData>
    <row r="1" spans="2:37" ht="15.75" thickBot="1"/>
    <row r="2" spans="2:37" ht="24" customHeight="1" thickBot="1">
      <c r="C2" s="35" t="s">
        <v>25</v>
      </c>
      <c r="D2" s="73" t="s">
        <v>44</v>
      </c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5"/>
    </row>
    <row r="3" spans="2:37" ht="24" customHeight="1" thickBot="1">
      <c r="C3" s="35" t="s">
        <v>29</v>
      </c>
      <c r="D3" s="73" t="s">
        <v>40</v>
      </c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5"/>
    </row>
    <row r="4" spans="2:37" ht="24" customHeight="1" thickBot="1">
      <c r="C4" s="35" t="s">
        <v>27</v>
      </c>
      <c r="D4" s="76">
        <v>45505</v>
      </c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8"/>
    </row>
    <row r="5" spans="2:37"/>
    <row r="6" spans="2:37" ht="19.5" thickBot="1">
      <c r="B6" s="13"/>
      <c r="C6" s="59">
        <f>E8</f>
        <v>45474</v>
      </c>
      <c r="D6" s="80" t="s">
        <v>32</v>
      </c>
      <c r="E6" s="80"/>
      <c r="F6" s="80"/>
      <c r="G6" s="80"/>
      <c r="H6" s="58"/>
      <c r="I6" s="58"/>
    </row>
    <row r="7" spans="2:37">
      <c r="B7" s="13"/>
      <c r="C7" s="36" t="s">
        <v>30</v>
      </c>
      <c r="D7" s="71" t="s">
        <v>4</v>
      </c>
      <c r="E7" s="14" t="str">
        <f>TEXT(E8,"DDD")</f>
        <v>Mon</v>
      </c>
      <c r="F7" s="8" t="str">
        <f t="shared" ref="F7:AI7" si="0">TEXT(F8,"DDD")</f>
        <v>Tue</v>
      </c>
      <c r="G7" s="8" t="str">
        <f t="shared" si="0"/>
        <v>Wed</v>
      </c>
      <c r="H7" s="8" t="str">
        <f t="shared" si="0"/>
        <v>Thu</v>
      </c>
      <c r="I7" s="8" t="str">
        <f t="shared" si="0"/>
        <v>Fri</v>
      </c>
      <c r="J7" s="8" t="str">
        <f t="shared" si="0"/>
        <v>Sat</v>
      </c>
      <c r="K7" s="8" t="str">
        <f t="shared" si="0"/>
        <v>Sun</v>
      </c>
      <c r="L7" s="8" t="str">
        <f t="shared" si="0"/>
        <v>Mon</v>
      </c>
      <c r="M7" s="8" t="str">
        <f t="shared" si="0"/>
        <v>Tue</v>
      </c>
      <c r="N7" s="8" t="str">
        <f t="shared" si="0"/>
        <v>Wed</v>
      </c>
      <c r="O7" s="8" t="str">
        <f t="shared" si="0"/>
        <v>Thu</v>
      </c>
      <c r="P7" s="8" t="str">
        <f t="shared" si="0"/>
        <v>Fri</v>
      </c>
      <c r="Q7" s="8" t="str">
        <f t="shared" si="0"/>
        <v>Sat</v>
      </c>
      <c r="R7" s="8" t="str">
        <f t="shared" si="0"/>
        <v>Sun</v>
      </c>
      <c r="S7" s="8" t="str">
        <f t="shared" si="0"/>
        <v>Mon</v>
      </c>
      <c r="T7" s="8" t="str">
        <f t="shared" si="0"/>
        <v>Tue</v>
      </c>
      <c r="U7" s="8" t="str">
        <f t="shared" si="0"/>
        <v>Wed</v>
      </c>
      <c r="V7" s="8" t="str">
        <f t="shared" si="0"/>
        <v>Thu</v>
      </c>
      <c r="W7" s="8" t="str">
        <f t="shared" si="0"/>
        <v>Fri</v>
      </c>
      <c r="X7" s="8" t="str">
        <f t="shared" si="0"/>
        <v>Sat</v>
      </c>
      <c r="Y7" s="8" t="str">
        <f t="shared" si="0"/>
        <v>Sun</v>
      </c>
      <c r="Z7" s="8" t="str">
        <f t="shared" si="0"/>
        <v>Mon</v>
      </c>
      <c r="AA7" s="8" t="str">
        <f t="shared" si="0"/>
        <v>Tue</v>
      </c>
      <c r="AB7" s="8" t="str">
        <f t="shared" si="0"/>
        <v>Wed</v>
      </c>
      <c r="AC7" s="8" t="str">
        <f t="shared" si="0"/>
        <v>Thu</v>
      </c>
      <c r="AD7" s="8" t="str">
        <f t="shared" si="0"/>
        <v>Fri</v>
      </c>
      <c r="AE7" s="8" t="str">
        <f t="shared" si="0"/>
        <v>Sat</v>
      </c>
      <c r="AF7" s="8" t="str">
        <f t="shared" si="0"/>
        <v>Sun</v>
      </c>
      <c r="AG7" s="8" t="str">
        <f t="shared" si="0"/>
        <v>Mon</v>
      </c>
      <c r="AH7" s="8" t="str">
        <f t="shared" si="0"/>
        <v>Tue</v>
      </c>
      <c r="AI7" s="8" t="str">
        <f t="shared" si="0"/>
        <v>Wed</v>
      </c>
      <c r="AJ7" s="63" t="s">
        <v>53</v>
      </c>
      <c r="AK7" s="63" t="s">
        <v>33</v>
      </c>
    </row>
    <row r="8" spans="2:37">
      <c r="B8" s="13"/>
      <c r="C8" s="37" t="s">
        <v>16</v>
      </c>
      <c r="D8" s="72"/>
      <c r="E8" s="12">
        <f>DATE(YEAR($D$4),MONTH($D$4)-1,DAY($D$4))</f>
        <v>45474</v>
      </c>
      <c r="F8" s="9">
        <f t="shared" ref="F8:AI8" si="1">E8+1</f>
        <v>45475</v>
      </c>
      <c r="G8" s="9">
        <f t="shared" si="1"/>
        <v>45476</v>
      </c>
      <c r="H8" s="9">
        <f t="shared" si="1"/>
        <v>45477</v>
      </c>
      <c r="I8" s="9">
        <f t="shared" si="1"/>
        <v>45478</v>
      </c>
      <c r="J8" s="9">
        <f t="shared" si="1"/>
        <v>45479</v>
      </c>
      <c r="K8" s="9">
        <f t="shared" si="1"/>
        <v>45480</v>
      </c>
      <c r="L8" s="9">
        <f t="shared" si="1"/>
        <v>45481</v>
      </c>
      <c r="M8" s="9">
        <f t="shared" si="1"/>
        <v>45482</v>
      </c>
      <c r="N8" s="9">
        <f t="shared" si="1"/>
        <v>45483</v>
      </c>
      <c r="O8" s="9">
        <f t="shared" si="1"/>
        <v>45484</v>
      </c>
      <c r="P8" s="9">
        <f t="shared" si="1"/>
        <v>45485</v>
      </c>
      <c r="Q8" s="9">
        <f t="shared" si="1"/>
        <v>45486</v>
      </c>
      <c r="R8" s="9">
        <f t="shared" si="1"/>
        <v>45487</v>
      </c>
      <c r="S8" s="9">
        <f t="shared" si="1"/>
        <v>45488</v>
      </c>
      <c r="T8" s="9">
        <f t="shared" si="1"/>
        <v>45489</v>
      </c>
      <c r="U8" s="9">
        <f t="shared" si="1"/>
        <v>45490</v>
      </c>
      <c r="V8" s="9">
        <f t="shared" si="1"/>
        <v>45491</v>
      </c>
      <c r="W8" s="9">
        <f t="shared" si="1"/>
        <v>45492</v>
      </c>
      <c r="X8" s="9">
        <f t="shared" si="1"/>
        <v>45493</v>
      </c>
      <c r="Y8" s="9">
        <f t="shared" si="1"/>
        <v>45494</v>
      </c>
      <c r="Z8" s="9">
        <f t="shared" si="1"/>
        <v>45495</v>
      </c>
      <c r="AA8" s="9">
        <f t="shared" si="1"/>
        <v>45496</v>
      </c>
      <c r="AB8" s="9">
        <f t="shared" si="1"/>
        <v>45497</v>
      </c>
      <c r="AC8" s="9">
        <f t="shared" si="1"/>
        <v>45498</v>
      </c>
      <c r="AD8" s="9">
        <f t="shared" si="1"/>
        <v>45499</v>
      </c>
      <c r="AE8" s="9">
        <f t="shared" si="1"/>
        <v>45500</v>
      </c>
      <c r="AF8" s="9">
        <f t="shared" si="1"/>
        <v>45501</v>
      </c>
      <c r="AG8" s="9">
        <f t="shared" si="1"/>
        <v>45502</v>
      </c>
      <c r="AH8" s="9">
        <f t="shared" si="1"/>
        <v>45503</v>
      </c>
      <c r="AI8" s="9">
        <f t="shared" si="1"/>
        <v>45504</v>
      </c>
      <c r="AJ8" s="64"/>
      <c r="AK8" s="64"/>
    </row>
    <row r="9" spans="2:37" ht="15" customHeight="1">
      <c r="B9" s="79" t="s">
        <v>31</v>
      </c>
      <c r="C9" s="44" t="str" cm="1">
        <f t="array" ref="C9:C21">_xlfn.UNIQUE('Monthly Data'!E2:E1048576)</f>
        <v>Coffee beans</v>
      </c>
      <c r="D9" s="30">
        <f>_xlfn.IFNA(VLOOKUP(C9,'Monthly Data'!E:I,5,0),"0")</f>
        <v>700</v>
      </c>
      <c r="E9" s="28">
        <f>SUMIFS('Daily Data'!$F:$F,'Daily Data'!$A:$A,DashBoard!E$8,'Daily Data'!$B:$B,DashBoard!$D$2,'Daily Data'!$C:$C,DashBoard!$D$3,'Daily Data'!$D:$D,DashBoard!$C9)</f>
        <v>0</v>
      </c>
      <c r="F9" s="28">
        <f>SUMIFS('Daily Data'!$F:$F,'Daily Data'!$A:$A,DashBoard!F$8,'Daily Data'!$B:$B,DashBoard!$D$2,'Daily Data'!$C:$C,DashBoard!$D$3,'Daily Data'!$D:$D,DashBoard!$C9)</f>
        <v>0</v>
      </c>
      <c r="G9" s="28">
        <f>SUMIFS('Daily Data'!$F:$F,'Daily Data'!$A:$A,DashBoard!G$8,'Daily Data'!$B:$B,DashBoard!$D$2,'Daily Data'!$C:$C,DashBoard!$D$3,'Daily Data'!$D:$D,DashBoard!$C9)</f>
        <v>0</v>
      </c>
      <c r="H9" s="28">
        <f>SUMIFS('Daily Data'!$F:$F,'Daily Data'!$A:$A,DashBoard!H$8,'Daily Data'!$B:$B,DashBoard!$D$2,'Daily Data'!$C:$C,DashBoard!$D$3,'Daily Data'!$D:$D,DashBoard!$C9)</f>
        <v>0</v>
      </c>
      <c r="I9" s="28">
        <f>SUMIFS('Daily Data'!$F:$F,'Daily Data'!$A:$A,DashBoard!I$8,'Daily Data'!$B:$B,DashBoard!$D$2,'Daily Data'!$C:$C,DashBoard!$D$3,'Daily Data'!$D:$D,DashBoard!$C9)</f>
        <v>0</v>
      </c>
      <c r="J9" s="28">
        <f>SUMIFS('Daily Data'!$F:$F,'Daily Data'!$A:$A,DashBoard!J$8,'Daily Data'!$B:$B,DashBoard!$D$2,'Daily Data'!$C:$C,DashBoard!$D$3,'Daily Data'!$D:$D,DashBoard!$C9)</f>
        <v>0</v>
      </c>
      <c r="K9" s="28">
        <f>SUMIFS('Daily Data'!$F:$F,'Daily Data'!$A:$A,DashBoard!K$8,'Daily Data'!$B:$B,DashBoard!$D$2,'Daily Data'!$C:$C,DashBoard!$D$3,'Daily Data'!$D:$D,DashBoard!$C9)</f>
        <v>0</v>
      </c>
      <c r="L9" s="28">
        <f>SUMIFS('Daily Data'!$F:$F,'Daily Data'!$A:$A,DashBoard!L$8,'Daily Data'!$B:$B,DashBoard!$D$2,'Daily Data'!$C:$C,DashBoard!$D$3,'Daily Data'!$D:$D,DashBoard!$C9)</f>
        <v>0</v>
      </c>
      <c r="M9" s="28">
        <f>SUMIFS('Daily Data'!$F:$F,'Daily Data'!$A:$A,DashBoard!M$8,'Daily Data'!$B:$B,DashBoard!$D$2,'Daily Data'!$C:$C,DashBoard!$D$3,'Daily Data'!$D:$D,DashBoard!$C9)</f>
        <v>0</v>
      </c>
      <c r="N9" s="28">
        <f>SUMIFS('Daily Data'!$F:$F,'Daily Data'!$A:$A,DashBoard!N$8,'Daily Data'!$B:$B,DashBoard!$D$2,'Daily Data'!$C:$C,DashBoard!$D$3,'Daily Data'!$D:$D,DashBoard!$C9)</f>
        <v>0</v>
      </c>
      <c r="O9" s="28">
        <f>SUMIFS('Daily Data'!$F:$F,'Daily Data'!$A:$A,DashBoard!O$8,'Daily Data'!$B:$B,DashBoard!$D$2,'Daily Data'!$C:$C,DashBoard!$D$3,'Daily Data'!$D:$D,DashBoard!$C9)</f>
        <v>0</v>
      </c>
      <c r="P9" s="28">
        <f>SUMIFS('Daily Data'!$F:$F,'Daily Data'!$A:$A,DashBoard!P$8,'Daily Data'!$B:$B,DashBoard!$D$2,'Daily Data'!$C:$C,DashBoard!$D$3,'Daily Data'!$D:$D,DashBoard!$C9)</f>
        <v>0</v>
      </c>
      <c r="Q9" s="28">
        <f>SUMIFS('Daily Data'!$F:$F,'Daily Data'!$A:$A,DashBoard!Q$8,'Daily Data'!$B:$B,DashBoard!$D$2,'Daily Data'!$C:$C,DashBoard!$D$3,'Daily Data'!$D:$D,DashBoard!$C9)</f>
        <v>0</v>
      </c>
      <c r="R9" s="28">
        <f>SUMIFS('Daily Data'!$F:$F,'Daily Data'!$A:$A,DashBoard!R$8,'Daily Data'!$B:$B,DashBoard!$D$2,'Daily Data'!$C:$C,DashBoard!$D$3,'Daily Data'!$D:$D,DashBoard!$C9)</f>
        <v>0</v>
      </c>
      <c r="S9" s="28">
        <f>SUMIFS('Daily Data'!$F:$F,'Daily Data'!$A:$A,DashBoard!S$8,'Daily Data'!$B:$B,DashBoard!$D$2,'Daily Data'!$C:$C,DashBoard!$D$3,'Daily Data'!$D:$D,DashBoard!$C9)</f>
        <v>0</v>
      </c>
      <c r="T9" s="28">
        <f>SUMIFS('Daily Data'!$F:$F,'Daily Data'!$A:$A,DashBoard!T$8,'Daily Data'!$B:$B,DashBoard!$D$2,'Daily Data'!$C:$C,DashBoard!$D$3,'Daily Data'!$D:$D,DashBoard!$C9)</f>
        <v>0</v>
      </c>
      <c r="U9" s="28">
        <f>SUMIFS('Daily Data'!$F:$F,'Daily Data'!$A:$A,DashBoard!U$8,'Daily Data'!$B:$B,DashBoard!$D$2,'Daily Data'!$C:$C,DashBoard!$D$3,'Daily Data'!$D:$D,DashBoard!$C9)</f>
        <v>0</v>
      </c>
      <c r="V9" s="28">
        <f>SUMIFS('Daily Data'!$F:$F,'Daily Data'!$A:$A,DashBoard!V$8,'Daily Data'!$B:$B,DashBoard!$D$2,'Daily Data'!$C:$C,DashBoard!$D$3,'Daily Data'!$D:$D,DashBoard!$C9)</f>
        <v>0</v>
      </c>
      <c r="W9" s="28">
        <f>SUMIFS('Daily Data'!$F:$F,'Daily Data'!$A:$A,DashBoard!W$8,'Daily Data'!$B:$B,DashBoard!$D$2,'Daily Data'!$C:$C,DashBoard!$D$3,'Daily Data'!$D:$D,DashBoard!$C9)</f>
        <v>0</v>
      </c>
      <c r="X9" s="28">
        <f>SUMIFS('Daily Data'!$F:$F,'Daily Data'!$A:$A,DashBoard!X$8,'Daily Data'!$B:$B,DashBoard!$D$2,'Daily Data'!$C:$C,DashBoard!$D$3,'Daily Data'!$D:$D,DashBoard!$C9)</f>
        <v>0</v>
      </c>
      <c r="Y9" s="28">
        <f>SUMIFS('Daily Data'!$F:$F,'Daily Data'!$A:$A,DashBoard!Y$8,'Daily Data'!$B:$B,DashBoard!$D$2,'Daily Data'!$C:$C,DashBoard!$D$3,'Daily Data'!$D:$D,DashBoard!$C9)</f>
        <v>0</v>
      </c>
      <c r="Z9" s="28">
        <f>SUMIFS('Daily Data'!$F:$F,'Daily Data'!$A:$A,DashBoard!Z$8,'Daily Data'!$B:$B,DashBoard!$D$2,'Daily Data'!$C:$C,DashBoard!$D$3,'Daily Data'!$D:$D,DashBoard!$C9)</f>
        <v>0</v>
      </c>
      <c r="AA9" s="28">
        <f>SUMIFS('Daily Data'!$F:$F,'Daily Data'!$A:$A,DashBoard!AA$8,'Daily Data'!$B:$B,DashBoard!$D$2,'Daily Data'!$C:$C,DashBoard!$D$3,'Daily Data'!$D:$D,DashBoard!$C9)</f>
        <v>0</v>
      </c>
      <c r="AB9" s="31">
        <f>SUMIFS('Daily Data'!$F:$F,'Daily Data'!$A:$A,DashBoard!AB$8,'Daily Data'!$B:$B,DashBoard!$D$2,'Daily Data'!$C:$C,DashBoard!$D$3,'Daily Data'!$D:$D,DashBoard!$C9)</f>
        <v>0</v>
      </c>
      <c r="AC9" s="28">
        <f>SUMIFS('Daily Data'!$F:$F,'Daily Data'!$A:$A,DashBoard!AC$8,'Daily Data'!$B:$B,DashBoard!$D$2,'Daily Data'!$C:$C,DashBoard!$D$3,'Daily Data'!$D:$D,DashBoard!$C9)</f>
        <v>0</v>
      </c>
      <c r="AD9" s="28">
        <f>SUMIFS('Daily Data'!$F:$F,'Daily Data'!$A:$A,DashBoard!AD$8,'Daily Data'!$B:$B,DashBoard!$D$2,'Daily Data'!$C:$C,DashBoard!$D$3,'Daily Data'!$D:$D,DashBoard!$C9)</f>
        <v>0</v>
      </c>
      <c r="AE9" s="28">
        <f>SUMIFS('Daily Data'!$F:$F,'Daily Data'!$A:$A,DashBoard!AE$8,'Daily Data'!$B:$B,DashBoard!$D$2,'Daily Data'!$C:$C,DashBoard!$D$3,'Daily Data'!$D:$D,DashBoard!$C9)</f>
        <v>0</v>
      </c>
      <c r="AF9" s="28">
        <f>SUMIFS('Daily Data'!$F:$F,'Daily Data'!$A:$A,DashBoard!AF$8,'Daily Data'!$B:$B,DashBoard!$D$2,'Daily Data'!$C:$C,DashBoard!$D$3,'Daily Data'!$D:$D,DashBoard!$C9)</f>
        <v>0</v>
      </c>
      <c r="AG9" s="28">
        <f>SUMIFS('Daily Data'!$F:$F,'Daily Data'!$A:$A,DashBoard!AG$8,'Daily Data'!$B:$B,DashBoard!$D$2,'Daily Data'!$C:$C,DashBoard!$D$3,'Daily Data'!$D:$D,DashBoard!$C9)</f>
        <v>0</v>
      </c>
      <c r="AH9" s="28">
        <f>SUMIFS('Daily Data'!$F:$F,'Daily Data'!$A:$A,DashBoard!AH$8,'Daily Data'!$B:$B,DashBoard!$D$2,'Daily Data'!$C:$C,DashBoard!$D$3,'Daily Data'!$D:$D,DashBoard!$C9)</f>
        <v>0</v>
      </c>
      <c r="AI9" s="28">
        <f>SUMIFS('Daily Data'!$F:$F,'Daily Data'!$A:$A,DashBoard!AI$8,'Daily Data'!$B:$B,DashBoard!$D$2,'Daily Data'!$C:$C,DashBoard!$D$3,'Daily Data'!$D:$D,DashBoard!$C9)</f>
        <v>0</v>
      </c>
      <c r="AJ9" s="15">
        <f>SUM(E9:AI9)</f>
        <v>0</v>
      </c>
      <c r="AK9" s="15">
        <f>AJ9*D9</f>
        <v>0</v>
      </c>
    </row>
    <row r="10" spans="2:37">
      <c r="B10" s="79"/>
      <c r="C10" s="44" t="str">
        <v xml:space="preserve">Sugar Sachet White </v>
      </c>
      <c r="D10" s="30">
        <f>_xlfn.IFNA(VLOOKUP(C10,'Monthly Data'!E:I,5,0),"0")</f>
        <v>120</v>
      </c>
      <c r="E10" s="29">
        <f>SUMIFS('Daily Data'!$F:$F,'Daily Data'!$A:$A,DashBoard!E$8,'Daily Data'!$B:$B,DashBoard!$D$2,'Daily Data'!$C:$C,DashBoard!$D$3,'Daily Data'!$D:$D,DashBoard!$C10)</f>
        <v>0</v>
      </c>
      <c r="F10" s="29">
        <f>SUMIFS('Daily Data'!$F:$F,'Daily Data'!$A:$A,DashBoard!F$8,'Daily Data'!$B:$B,DashBoard!$D$2,'Daily Data'!$C:$C,DashBoard!$D$3,'Daily Data'!$D:$D,DashBoard!$C10)</f>
        <v>0</v>
      </c>
      <c r="G10" s="29">
        <f>SUMIFS('Daily Data'!$F:$F,'Daily Data'!$A:$A,DashBoard!G$8,'Daily Data'!$B:$B,DashBoard!$D$2,'Daily Data'!$C:$C,DashBoard!$D$3,'Daily Data'!$D:$D,DashBoard!$C10)</f>
        <v>0</v>
      </c>
      <c r="H10" s="29">
        <f>SUMIFS('Daily Data'!$F:$F,'Daily Data'!$A:$A,DashBoard!H$8,'Daily Data'!$B:$B,DashBoard!$D$2,'Daily Data'!$C:$C,DashBoard!$D$3,'Daily Data'!$D:$D,DashBoard!$C10)</f>
        <v>0</v>
      </c>
      <c r="I10" s="29">
        <f>SUMIFS('Daily Data'!$F:$F,'Daily Data'!$A:$A,DashBoard!I$8,'Daily Data'!$B:$B,DashBoard!$D$2,'Daily Data'!$C:$C,DashBoard!$D$3,'Daily Data'!$D:$D,DashBoard!$C10)</f>
        <v>0</v>
      </c>
      <c r="J10" s="29">
        <f>SUMIFS('Daily Data'!$F:$F,'Daily Data'!$A:$A,DashBoard!J$8,'Daily Data'!$B:$B,DashBoard!$D$2,'Daily Data'!$C:$C,DashBoard!$D$3,'Daily Data'!$D:$D,DashBoard!$C10)</f>
        <v>0</v>
      </c>
      <c r="K10" s="29">
        <f>SUMIFS('Daily Data'!$F:$F,'Daily Data'!$A:$A,DashBoard!K$8,'Daily Data'!$B:$B,DashBoard!$D$2,'Daily Data'!$C:$C,DashBoard!$D$3,'Daily Data'!$D:$D,DashBoard!$C10)</f>
        <v>0</v>
      </c>
      <c r="L10" s="29">
        <f>SUMIFS('Daily Data'!$F:$F,'Daily Data'!$A:$A,DashBoard!L$8,'Daily Data'!$B:$B,DashBoard!$D$2,'Daily Data'!$C:$C,DashBoard!$D$3,'Daily Data'!$D:$D,DashBoard!$C10)</f>
        <v>0</v>
      </c>
      <c r="M10" s="29">
        <f>SUMIFS('Daily Data'!$F:$F,'Daily Data'!$A:$A,DashBoard!M$8,'Daily Data'!$B:$B,DashBoard!$D$2,'Daily Data'!$C:$C,DashBoard!$D$3,'Daily Data'!$D:$D,DashBoard!$C10)</f>
        <v>0</v>
      </c>
      <c r="N10" s="29">
        <f>SUMIFS('Daily Data'!$F:$F,'Daily Data'!$A:$A,DashBoard!N$8,'Daily Data'!$B:$B,DashBoard!$D$2,'Daily Data'!$C:$C,DashBoard!$D$3,'Daily Data'!$D:$D,DashBoard!$C10)</f>
        <v>0</v>
      </c>
      <c r="O10" s="29">
        <f>SUMIFS('Daily Data'!$F:$F,'Daily Data'!$A:$A,DashBoard!O$8,'Daily Data'!$B:$B,DashBoard!$D$2,'Daily Data'!$C:$C,DashBoard!$D$3,'Daily Data'!$D:$D,DashBoard!$C10)</f>
        <v>0</v>
      </c>
      <c r="P10" s="29">
        <f>SUMIFS('Daily Data'!$F:$F,'Daily Data'!$A:$A,DashBoard!P$8,'Daily Data'!$B:$B,DashBoard!$D$2,'Daily Data'!$C:$C,DashBoard!$D$3,'Daily Data'!$D:$D,DashBoard!$C10)</f>
        <v>0</v>
      </c>
      <c r="Q10" s="29">
        <f>SUMIFS('Daily Data'!$F:$F,'Daily Data'!$A:$A,DashBoard!Q$8,'Daily Data'!$B:$B,DashBoard!$D$2,'Daily Data'!$C:$C,DashBoard!$D$3,'Daily Data'!$D:$D,DashBoard!$C10)</f>
        <v>0</v>
      </c>
      <c r="R10" s="29">
        <f>SUMIFS('Daily Data'!$F:$F,'Daily Data'!$A:$A,DashBoard!R$8,'Daily Data'!$B:$B,DashBoard!$D$2,'Daily Data'!$C:$C,DashBoard!$D$3,'Daily Data'!$D:$D,DashBoard!$C10)</f>
        <v>0</v>
      </c>
      <c r="S10" s="29">
        <f>SUMIFS('Daily Data'!$F:$F,'Daily Data'!$A:$A,DashBoard!S$8,'Daily Data'!$B:$B,DashBoard!$D$2,'Daily Data'!$C:$C,DashBoard!$D$3,'Daily Data'!$D:$D,DashBoard!$C10)</f>
        <v>0</v>
      </c>
      <c r="T10" s="29">
        <f>SUMIFS('Daily Data'!$F:$F,'Daily Data'!$A:$A,DashBoard!T$8,'Daily Data'!$B:$B,DashBoard!$D$2,'Daily Data'!$C:$C,DashBoard!$D$3,'Daily Data'!$D:$D,DashBoard!$C10)</f>
        <v>0</v>
      </c>
      <c r="U10" s="29">
        <f>SUMIFS('Daily Data'!$F:$F,'Daily Data'!$A:$A,DashBoard!U$8,'Daily Data'!$B:$B,DashBoard!$D$2,'Daily Data'!$C:$C,DashBoard!$D$3,'Daily Data'!$D:$D,DashBoard!$C10)</f>
        <v>0</v>
      </c>
      <c r="V10" s="29">
        <f>SUMIFS('Daily Data'!$F:$F,'Daily Data'!$A:$A,DashBoard!V$8,'Daily Data'!$B:$B,DashBoard!$D$2,'Daily Data'!$C:$C,DashBoard!$D$3,'Daily Data'!$D:$D,DashBoard!$C10)</f>
        <v>0</v>
      </c>
      <c r="W10" s="29">
        <f>SUMIFS('Daily Data'!$F:$F,'Daily Data'!$A:$A,DashBoard!W$8,'Daily Data'!$B:$B,DashBoard!$D$2,'Daily Data'!$C:$C,DashBoard!$D$3,'Daily Data'!$D:$D,DashBoard!$C10)</f>
        <v>0</v>
      </c>
      <c r="X10" s="29">
        <f>SUMIFS('Daily Data'!$F:$F,'Daily Data'!$A:$A,DashBoard!X$8,'Daily Data'!$B:$B,DashBoard!$D$2,'Daily Data'!$C:$C,DashBoard!$D$3,'Daily Data'!$D:$D,DashBoard!$C10)</f>
        <v>0</v>
      </c>
      <c r="Y10" s="29">
        <f>SUMIFS('Daily Data'!$F:$F,'Daily Data'!$A:$A,DashBoard!Y$8,'Daily Data'!$B:$B,DashBoard!$D$2,'Daily Data'!$C:$C,DashBoard!$D$3,'Daily Data'!$D:$D,DashBoard!$C10)</f>
        <v>0</v>
      </c>
      <c r="Z10" s="29">
        <f>SUMIFS('Daily Data'!$F:$F,'Daily Data'!$A:$A,DashBoard!Z$8,'Daily Data'!$B:$B,DashBoard!$D$2,'Daily Data'!$C:$C,DashBoard!$D$3,'Daily Data'!$D:$D,DashBoard!$C10)</f>
        <v>0</v>
      </c>
      <c r="AA10" s="29">
        <f>SUMIFS('Daily Data'!$F:$F,'Daily Data'!$A:$A,DashBoard!AA$8,'Daily Data'!$B:$B,DashBoard!$D$2,'Daily Data'!$C:$C,DashBoard!$D$3,'Daily Data'!$D:$D,DashBoard!$C10)</f>
        <v>0</v>
      </c>
      <c r="AB10" s="31">
        <f>SUMIFS('Daily Data'!$F:$F,'Daily Data'!$A:$A,DashBoard!AB$8,'Daily Data'!$B:$B,DashBoard!$D$2,'Daily Data'!$C:$C,DashBoard!$D$3,'Daily Data'!$D:$D,DashBoard!$C10)</f>
        <v>0</v>
      </c>
      <c r="AC10" s="29">
        <f>SUMIFS('Daily Data'!$F:$F,'Daily Data'!$A:$A,DashBoard!AC$8,'Daily Data'!$B:$B,DashBoard!$D$2,'Daily Data'!$C:$C,DashBoard!$D$3,'Daily Data'!$D:$D,DashBoard!$C10)</f>
        <v>0</v>
      </c>
      <c r="AD10" s="29">
        <f>SUMIFS('Daily Data'!$F:$F,'Daily Data'!$A:$A,DashBoard!AD$8,'Daily Data'!$B:$B,DashBoard!$D$2,'Daily Data'!$C:$C,DashBoard!$D$3,'Daily Data'!$D:$D,DashBoard!$C10)</f>
        <v>0</v>
      </c>
      <c r="AE10" s="29">
        <f>SUMIFS('Daily Data'!$F:$F,'Daily Data'!$A:$A,DashBoard!AE$8,'Daily Data'!$B:$B,DashBoard!$D$2,'Daily Data'!$C:$C,DashBoard!$D$3,'Daily Data'!$D:$D,DashBoard!$C10)</f>
        <v>0</v>
      </c>
      <c r="AF10" s="29">
        <f>SUMIFS('Daily Data'!$F:$F,'Daily Data'!$A:$A,DashBoard!AF$8,'Daily Data'!$B:$B,DashBoard!$D$2,'Daily Data'!$C:$C,DashBoard!$D$3,'Daily Data'!$D:$D,DashBoard!$C10)</f>
        <v>0</v>
      </c>
      <c r="AG10" s="29">
        <f>SUMIFS('Daily Data'!$F:$F,'Daily Data'!$A:$A,DashBoard!AG$8,'Daily Data'!$B:$B,DashBoard!$D$2,'Daily Data'!$C:$C,DashBoard!$D$3,'Daily Data'!$D:$D,DashBoard!$C10)</f>
        <v>0</v>
      </c>
      <c r="AH10" s="29">
        <f>SUMIFS('Daily Data'!$F:$F,'Daily Data'!$A:$A,DashBoard!AH$8,'Daily Data'!$B:$B,DashBoard!$D$2,'Daily Data'!$C:$C,DashBoard!$D$3,'Daily Data'!$D:$D,DashBoard!$C10)</f>
        <v>0</v>
      </c>
      <c r="AI10" s="29">
        <f>SUMIFS('Daily Data'!$F:$F,'Daily Data'!$A:$A,DashBoard!AI$8,'Daily Data'!$B:$B,DashBoard!$D$2,'Daily Data'!$C:$C,DashBoard!$D$3,'Daily Data'!$D:$D,DashBoard!$C10)</f>
        <v>0</v>
      </c>
      <c r="AJ10" s="15">
        <f t="shared" ref="AJ10:AJ21" si="2">SUM(E10:AI10)</f>
        <v>0</v>
      </c>
      <c r="AK10" s="15">
        <f t="shared" ref="AK10:AK21" si="3">AJ10*D10</f>
        <v>0</v>
      </c>
    </row>
    <row r="11" spans="2:37">
      <c r="B11" s="79"/>
      <c r="C11" s="44" t="str">
        <v>Stirrer</v>
      </c>
      <c r="D11" s="30">
        <f>_xlfn.IFNA(VLOOKUP(C11,'Monthly Data'!E:I,5,0),"0")</f>
        <v>0.25</v>
      </c>
      <c r="E11" s="29">
        <f>SUMIFS('Daily Data'!$F:$F,'Daily Data'!$A:$A,DashBoard!E$8,'Daily Data'!$B:$B,DashBoard!$D$2,'Daily Data'!$C:$C,DashBoard!$D$3,'Daily Data'!$D:$D,DashBoard!$C11)</f>
        <v>0</v>
      </c>
      <c r="F11" s="29">
        <f>SUMIFS('Daily Data'!$F:$F,'Daily Data'!$A:$A,DashBoard!F$8,'Daily Data'!$B:$B,DashBoard!$D$2,'Daily Data'!$C:$C,DashBoard!$D$3,'Daily Data'!$D:$D,DashBoard!$C11)</f>
        <v>0</v>
      </c>
      <c r="G11" s="29">
        <f>SUMIFS('Daily Data'!$F:$F,'Daily Data'!$A:$A,DashBoard!G$8,'Daily Data'!$B:$B,DashBoard!$D$2,'Daily Data'!$C:$C,DashBoard!$D$3,'Daily Data'!$D:$D,DashBoard!$C11)</f>
        <v>0</v>
      </c>
      <c r="H11" s="29">
        <f>SUMIFS('Daily Data'!$F:$F,'Daily Data'!$A:$A,DashBoard!H$8,'Daily Data'!$B:$B,DashBoard!$D$2,'Daily Data'!$C:$C,DashBoard!$D$3,'Daily Data'!$D:$D,DashBoard!$C11)</f>
        <v>0</v>
      </c>
      <c r="I11" s="29">
        <f>SUMIFS('Daily Data'!$F:$F,'Daily Data'!$A:$A,DashBoard!I$8,'Daily Data'!$B:$B,DashBoard!$D$2,'Daily Data'!$C:$C,DashBoard!$D$3,'Daily Data'!$D:$D,DashBoard!$C11)</f>
        <v>0</v>
      </c>
      <c r="J11" s="29">
        <f>SUMIFS('Daily Data'!$F:$F,'Daily Data'!$A:$A,DashBoard!J$8,'Daily Data'!$B:$B,DashBoard!$D$2,'Daily Data'!$C:$C,DashBoard!$D$3,'Daily Data'!$D:$D,DashBoard!$C11)</f>
        <v>0</v>
      </c>
      <c r="K11" s="29">
        <f>SUMIFS('Daily Data'!$F:$F,'Daily Data'!$A:$A,DashBoard!K$8,'Daily Data'!$B:$B,DashBoard!$D$2,'Daily Data'!$C:$C,DashBoard!$D$3,'Daily Data'!$D:$D,DashBoard!$C11)</f>
        <v>0</v>
      </c>
      <c r="L11" s="29">
        <f>SUMIFS('Daily Data'!$F:$F,'Daily Data'!$A:$A,DashBoard!L$8,'Daily Data'!$B:$B,DashBoard!$D$2,'Daily Data'!$C:$C,DashBoard!$D$3,'Daily Data'!$D:$D,DashBoard!$C11)</f>
        <v>0</v>
      </c>
      <c r="M11" s="29">
        <f>SUMIFS('Daily Data'!$F:$F,'Daily Data'!$A:$A,DashBoard!M$8,'Daily Data'!$B:$B,DashBoard!$D$2,'Daily Data'!$C:$C,DashBoard!$D$3,'Daily Data'!$D:$D,DashBoard!$C11)</f>
        <v>0</v>
      </c>
      <c r="N11" s="29">
        <f>SUMIFS('Daily Data'!$F:$F,'Daily Data'!$A:$A,DashBoard!N$8,'Daily Data'!$B:$B,DashBoard!$D$2,'Daily Data'!$C:$C,DashBoard!$D$3,'Daily Data'!$D:$D,DashBoard!$C11)</f>
        <v>0</v>
      </c>
      <c r="O11" s="29">
        <f>SUMIFS('Daily Data'!$F:$F,'Daily Data'!$A:$A,DashBoard!O$8,'Daily Data'!$B:$B,DashBoard!$D$2,'Daily Data'!$C:$C,DashBoard!$D$3,'Daily Data'!$D:$D,DashBoard!$C11)</f>
        <v>0</v>
      </c>
      <c r="P11" s="29">
        <f>SUMIFS('Daily Data'!$F:$F,'Daily Data'!$A:$A,DashBoard!P$8,'Daily Data'!$B:$B,DashBoard!$D$2,'Daily Data'!$C:$C,DashBoard!$D$3,'Daily Data'!$D:$D,DashBoard!$C11)</f>
        <v>0</v>
      </c>
      <c r="Q11" s="29">
        <f>SUMIFS('Daily Data'!$F:$F,'Daily Data'!$A:$A,DashBoard!Q$8,'Daily Data'!$B:$B,DashBoard!$D$2,'Daily Data'!$C:$C,DashBoard!$D$3,'Daily Data'!$D:$D,DashBoard!$C11)</f>
        <v>0</v>
      </c>
      <c r="R11" s="29">
        <f>SUMIFS('Daily Data'!$F:$F,'Daily Data'!$A:$A,DashBoard!R$8,'Daily Data'!$B:$B,DashBoard!$D$2,'Daily Data'!$C:$C,DashBoard!$D$3,'Daily Data'!$D:$D,DashBoard!$C11)</f>
        <v>0</v>
      </c>
      <c r="S11" s="29">
        <f>SUMIFS('Daily Data'!$F:$F,'Daily Data'!$A:$A,DashBoard!S$8,'Daily Data'!$B:$B,DashBoard!$D$2,'Daily Data'!$C:$C,DashBoard!$D$3,'Daily Data'!$D:$D,DashBoard!$C11)</f>
        <v>0</v>
      </c>
      <c r="T11" s="29">
        <f>SUMIFS('Daily Data'!$F:$F,'Daily Data'!$A:$A,DashBoard!T$8,'Daily Data'!$B:$B,DashBoard!$D$2,'Daily Data'!$C:$C,DashBoard!$D$3,'Daily Data'!$D:$D,DashBoard!$C11)</f>
        <v>0</v>
      </c>
      <c r="U11" s="29">
        <f>SUMIFS('Daily Data'!$F:$F,'Daily Data'!$A:$A,DashBoard!U$8,'Daily Data'!$B:$B,DashBoard!$D$2,'Daily Data'!$C:$C,DashBoard!$D$3,'Daily Data'!$D:$D,DashBoard!$C11)</f>
        <v>0</v>
      </c>
      <c r="V11" s="29">
        <f>SUMIFS('Daily Data'!$F:$F,'Daily Data'!$A:$A,DashBoard!V$8,'Daily Data'!$B:$B,DashBoard!$D$2,'Daily Data'!$C:$C,DashBoard!$D$3,'Daily Data'!$D:$D,DashBoard!$C11)</f>
        <v>0</v>
      </c>
      <c r="W11" s="29">
        <f>SUMIFS('Daily Data'!$F:$F,'Daily Data'!$A:$A,DashBoard!W$8,'Daily Data'!$B:$B,DashBoard!$D$2,'Daily Data'!$C:$C,DashBoard!$D$3,'Daily Data'!$D:$D,DashBoard!$C11)</f>
        <v>0</v>
      </c>
      <c r="X11" s="29">
        <f>SUMIFS('Daily Data'!$F:$F,'Daily Data'!$A:$A,DashBoard!X$8,'Daily Data'!$B:$B,DashBoard!$D$2,'Daily Data'!$C:$C,DashBoard!$D$3,'Daily Data'!$D:$D,DashBoard!$C11)</f>
        <v>0</v>
      </c>
      <c r="Y11" s="29">
        <f>SUMIFS('Daily Data'!$F:$F,'Daily Data'!$A:$A,DashBoard!Y$8,'Daily Data'!$B:$B,DashBoard!$D$2,'Daily Data'!$C:$C,DashBoard!$D$3,'Daily Data'!$D:$D,DashBoard!$C11)</f>
        <v>0</v>
      </c>
      <c r="Z11" s="29">
        <f>SUMIFS('Daily Data'!$F:$F,'Daily Data'!$A:$A,DashBoard!Z$8,'Daily Data'!$B:$B,DashBoard!$D$2,'Daily Data'!$C:$C,DashBoard!$D$3,'Daily Data'!$D:$D,DashBoard!$C11)</f>
        <v>0</v>
      </c>
      <c r="AA11" s="29">
        <f>SUMIFS('Daily Data'!$F:$F,'Daily Data'!$A:$A,DashBoard!AA$8,'Daily Data'!$B:$B,DashBoard!$D$2,'Daily Data'!$C:$C,DashBoard!$D$3,'Daily Data'!$D:$D,DashBoard!$C11)</f>
        <v>0</v>
      </c>
      <c r="AB11" s="31">
        <f>SUMIFS('Daily Data'!$F:$F,'Daily Data'!$A:$A,DashBoard!AB$8,'Daily Data'!$B:$B,DashBoard!$D$2,'Daily Data'!$C:$C,DashBoard!$D$3,'Daily Data'!$D:$D,DashBoard!$C11)</f>
        <v>0</v>
      </c>
      <c r="AC11" s="29">
        <f>SUMIFS('Daily Data'!$F:$F,'Daily Data'!$A:$A,DashBoard!AC$8,'Daily Data'!$B:$B,DashBoard!$D$2,'Daily Data'!$C:$C,DashBoard!$D$3,'Daily Data'!$D:$D,DashBoard!$C11)</f>
        <v>0</v>
      </c>
      <c r="AD11" s="29">
        <f>SUMIFS('Daily Data'!$F:$F,'Daily Data'!$A:$A,DashBoard!AD$8,'Daily Data'!$B:$B,DashBoard!$D$2,'Daily Data'!$C:$C,DashBoard!$D$3,'Daily Data'!$D:$D,DashBoard!$C11)</f>
        <v>0</v>
      </c>
      <c r="AE11" s="29">
        <f>SUMIFS('Daily Data'!$F:$F,'Daily Data'!$A:$A,DashBoard!AE$8,'Daily Data'!$B:$B,DashBoard!$D$2,'Daily Data'!$C:$C,DashBoard!$D$3,'Daily Data'!$D:$D,DashBoard!$C11)</f>
        <v>0</v>
      </c>
      <c r="AF11" s="29">
        <f>SUMIFS('Daily Data'!$F:$F,'Daily Data'!$A:$A,DashBoard!AF$8,'Daily Data'!$B:$B,DashBoard!$D$2,'Daily Data'!$C:$C,DashBoard!$D$3,'Daily Data'!$D:$D,DashBoard!$C11)</f>
        <v>0</v>
      </c>
      <c r="AG11" s="29">
        <f>SUMIFS('Daily Data'!$F:$F,'Daily Data'!$A:$A,DashBoard!AG$8,'Daily Data'!$B:$B,DashBoard!$D$2,'Daily Data'!$C:$C,DashBoard!$D$3,'Daily Data'!$D:$D,DashBoard!$C11)</f>
        <v>0</v>
      </c>
      <c r="AH11" s="29">
        <f>SUMIFS('Daily Data'!$F:$F,'Daily Data'!$A:$A,DashBoard!AH$8,'Daily Data'!$B:$B,DashBoard!$D$2,'Daily Data'!$C:$C,DashBoard!$D$3,'Daily Data'!$D:$D,DashBoard!$C11)</f>
        <v>0</v>
      </c>
      <c r="AI11" s="29">
        <f>SUMIFS('Daily Data'!$F:$F,'Daily Data'!$A:$A,DashBoard!AI$8,'Daily Data'!$B:$B,DashBoard!$D$2,'Daily Data'!$C:$C,DashBoard!$D$3,'Daily Data'!$D:$D,DashBoard!$C11)</f>
        <v>0</v>
      </c>
      <c r="AJ11" s="15">
        <f t="shared" si="2"/>
        <v>0</v>
      </c>
      <c r="AK11" s="15">
        <f t="shared" si="3"/>
        <v>0</v>
      </c>
    </row>
    <row r="12" spans="2:37">
      <c r="B12" s="79"/>
      <c r="C12" s="44" t="str">
        <v>Milk</v>
      </c>
      <c r="D12" s="30">
        <f>_xlfn.IFNA(VLOOKUP(C12,'Monthly Data'!E:I,5,0),"0")</f>
        <v>69.52</v>
      </c>
      <c r="E12" s="29">
        <f>SUMIFS('Daily Data'!$F:$F,'Daily Data'!$A:$A,DashBoard!E$8,'Daily Data'!$B:$B,DashBoard!$D$2,'Daily Data'!$C:$C,DashBoard!$D$3,'Daily Data'!$D:$D,DashBoard!$C12)</f>
        <v>0</v>
      </c>
      <c r="F12" s="29">
        <f>SUMIFS('Daily Data'!$F:$F,'Daily Data'!$A:$A,DashBoard!F$8,'Daily Data'!$B:$B,DashBoard!$D$2,'Daily Data'!$C:$C,DashBoard!$D$3,'Daily Data'!$D:$D,DashBoard!$C12)</f>
        <v>0</v>
      </c>
      <c r="G12" s="29">
        <f>SUMIFS('Daily Data'!$F:$F,'Daily Data'!$A:$A,DashBoard!G$8,'Daily Data'!$B:$B,DashBoard!$D$2,'Daily Data'!$C:$C,DashBoard!$D$3,'Daily Data'!$D:$D,DashBoard!$C12)</f>
        <v>0</v>
      </c>
      <c r="H12" s="29">
        <f>SUMIFS('Daily Data'!$F:$F,'Daily Data'!$A:$A,DashBoard!H$8,'Daily Data'!$B:$B,DashBoard!$D$2,'Daily Data'!$C:$C,DashBoard!$D$3,'Daily Data'!$D:$D,DashBoard!$C12)</f>
        <v>0</v>
      </c>
      <c r="I12" s="29">
        <f>SUMIFS('Daily Data'!$F:$F,'Daily Data'!$A:$A,DashBoard!I$8,'Daily Data'!$B:$B,DashBoard!$D$2,'Daily Data'!$C:$C,DashBoard!$D$3,'Daily Data'!$D:$D,DashBoard!$C12)</f>
        <v>0</v>
      </c>
      <c r="J12" s="29">
        <f>SUMIFS('Daily Data'!$F:$F,'Daily Data'!$A:$A,DashBoard!J$8,'Daily Data'!$B:$B,DashBoard!$D$2,'Daily Data'!$C:$C,DashBoard!$D$3,'Daily Data'!$D:$D,DashBoard!$C12)</f>
        <v>0</v>
      </c>
      <c r="K12" s="29">
        <f>SUMIFS('Daily Data'!$F:$F,'Daily Data'!$A:$A,DashBoard!K$8,'Daily Data'!$B:$B,DashBoard!$D$2,'Daily Data'!$C:$C,DashBoard!$D$3,'Daily Data'!$D:$D,DashBoard!$C12)</f>
        <v>0</v>
      </c>
      <c r="L12" s="29">
        <f>SUMIFS('Daily Data'!$F:$F,'Daily Data'!$A:$A,DashBoard!L$8,'Daily Data'!$B:$B,DashBoard!$D$2,'Daily Data'!$C:$C,DashBoard!$D$3,'Daily Data'!$D:$D,DashBoard!$C12)</f>
        <v>0</v>
      </c>
      <c r="M12" s="29">
        <f>SUMIFS('Daily Data'!$F:$F,'Daily Data'!$A:$A,DashBoard!M$8,'Daily Data'!$B:$B,DashBoard!$D$2,'Daily Data'!$C:$C,DashBoard!$D$3,'Daily Data'!$D:$D,DashBoard!$C12)</f>
        <v>0</v>
      </c>
      <c r="N12" s="29">
        <f>SUMIFS('Daily Data'!$F:$F,'Daily Data'!$A:$A,DashBoard!N$8,'Daily Data'!$B:$B,DashBoard!$D$2,'Daily Data'!$C:$C,DashBoard!$D$3,'Daily Data'!$D:$D,DashBoard!$C12)</f>
        <v>0</v>
      </c>
      <c r="O12" s="29">
        <f>SUMIFS('Daily Data'!$F:$F,'Daily Data'!$A:$A,DashBoard!O$8,'Daily Data'!$B:$B,DashBoard!$D$2,'Daily Data'!$C:$C,DashBoard!$D$3,'Daily Data'!$D:$D,DashBoard!$C12)</f>
        <v>0</v>
      </c>
      <c r="P12" s="29">
        <f>SUMIFS('Daily Data'!$F:$F,'Daily Data'!$A:$A,DashBoard!P$8,'Daily Data'!$B:$B,DashBoard!$D$2,'Daily Data'!$C:$C,DashBoard!$D$3,'Daily Data'!$D:$D,DashBoard!$C12)</f>
        <v>0</v>
      </c>
      <c r="Q12" s="29">
        <f>SUMIFS('Daily Data'!$F:$F,'Daily Data'!$A:$A,DashBoard!Q$8,'Daily Data'!$B:$B,DashBoard!$D$2,'Daily Data'!$C:$C,DashBoard!$D$3,'Daily Data'!$D:$D,DashBoard!$C12)</f>
        <v>0</v>
      </c>
      <c r="R12" s="29">
        <f>SUMIFS('Daily Data'!$F:$F,'Daily Data'!$A:$A,DashBoard!R$8,'Daily Data'!$B:$B,DashBoard!$D$2,'Daily Data'!$C:$C,DashBoard!$D$3,'Daily Data'!$D:$D,DashBoard!$C12)</f>
        <v>0</v>
      </c>
      <c r="S12" s="29">
        <f>SUMIFS('Daily Data'!$F:$F,'Daily Data'!$A:$A,DashBoard!S$8,'Daily Data'!$B:$B,DashBoard!$D$2,'Daily Data'!$C:$C,DashBoard!$D$3,'Daily Data'!$D:$D,DashBoard!$C12)</f>
        <v>0</v>
      </c>
      <c r="T12" s="29">
        <f>SUMIFS('Daily Data'!$F:$F,'Daily Data'!$A:$A,DashBoard!T$8,'Daily Data'!$B:$B,DashBoard!$D$2,'Daily Data'!$C:$C,DashBoard!$D$3,'Daily Data'!$D:$D,DashBoard!$C12)</f>
        <v>0</v>
      </c>
      <c r="U12" s="29">
        <f>SUMIFS('Daily Data'!$F:$F,'Daily Data'!$A:$A,DashBoard!U$8,'Daily Data'!$B:$B,DashBoard!$D$2,'Daily Data'!$C:$C,DashBoard!$D$3,'Daily Data'!$D:$D,DashBoard!$C12)</f>
        <v>0</v>
      </c>
      <c r="V12" s="29">
        <f>SUMIFS('Daily Data'!$F:$F,'Daily Data'!$A:$A,DashBoard!V$8,'Daily Data'!$B:$B,DashBoard!$D$2,'Daily Data'!$C:$C,DashBoard!$D$3,'Daily Data'!$D:$D,DashBoard!$C12)</f>
        <v>0</v>
      </c>
      <c r="W12" s="29">
        <f>SUMIFS('Daily Data'!$F:$F,'Daily Data'!$A:$A,DashBoard!W$8,'Daily Data'!$B:$B,DashBoard!$D$2,'Daily Data'!$C:$C,DashBoard!$D$3,'Daily Data'!$D:$D,DashBoard!$C12)</f>
        <v>0</v>
      </c>
      <c r="X12" s="29">
        <f>SUMIFS('Daily Data'!$F:$F,'Daily Data'!$A:$A,DashBoard!X$8,'Daily Data'!$B:$B,DashBoard!$D$2,'Daily Data'!$C:$C,DashBoard!$D$3,'Daily Data'!$D:$D,DashBoard!$C12)</f>
        <v>0</v>
      </c>
      <c r="Y12" s="29">
        <f>SUMIFS('Daily Data'!$F:$F,'Daily Data'!$A:$A,DashBoard!Y$8,'Daily Data'!$B:$B,DashBoard!$D$2,'Daily Data'!$C:$C,DashBoard!$D$3,'Daily Data'!$D:$D,DashBoard!$C12)</f>
        <v>0</v>
      </c>
      <c r="Z12" s="29">
        <f>SUMIFS('Daily Data'!$F:$F,'Daily Data'!$A:$A,DashBoard!Z$8,'Daily Data'!$B:$B,DashBoard!$D$2,'Daily Data'!$C:$C,DashBoard!$D$3,'Daily Data'!$D:$D,DashBoard!$C12)</f>
        <v>0</v>
      </c>
      <c r="AA12" s="29">
        <f>SUMIFS('Daily Data'!$F:$F,'Daily Data'!$A:$A,DashBoard!AA$8,'Daily Data'!$B:$B,DashBoard!$D$2,'Daily Data'!$C:$C,DashBoard!$D$3,'Daily Data'!$D:$D,DashBoard!$C12)</f>
        <v>0</v>
      </c>
      <c r="AB12" s="31">
        <f>SUMIFS('Daily Data'!$F:$F,'Daily Data'!$A:$A,DashBoard!AB$8,'Daily Data'!$B:$B,DashBoard!$D$2,'Daily Data'!$C:$C,DashBoard!$D$3,'Daily Data'!$D:$D,DashBoard!$C12)</f>
        <v>0</v>
      </c>
      <c r="AC12" s="29">
        <f>SUMIFS('Daily Data'!$F:$F,'Daily Data'!$A:$A,DashBoard!AC$8,'Daily Data'!$B:$B,DashBoard!$D$2,'Daily Data'!$C:$C,DashBoard!$D$3,'Daily Data'!$D:$D,DashBoard!$C12)</f>
        <v>0</v>
      </c>
      <c r="AD12" s="29">
        <f>SUMIFS('Daily Data'!$F:$F,'Daily Data'!$A:$A,DashBoard!AD$8,'Daily Data'!$B:$B,DashBoard!$D$2,'Daily Data'!$C:$C,DashBoard!$D$3,'Daily Data'!$D:$D,DashBoard!$C12)</f>
        <v>0</v>
      </c>
      <c r="AE12" s="29">
        <f>SUMIFS('Daily Data'!$F:$F,'Daily Data'!$A:$A,DashBoard!AE$8,'Daily Data'!$B:$B,DashBoard!$D$2,'Daily Data'!$C:$C,DashBoard!$D$3,'Daily Data'!$D:$D,DashBoard!$C12)</f>
        <v>0</v>
      </c>
      <c r="AF12" s="29">
        <f>SUMIFS('Daily Data'!$F:$F,'Daily Data'!$A:$A,DashBoard!AF$8,'Daily Data'!$B:$B,DashBoard!$D$2,'Daily Data'!$C:$C,DashBoard!$D$3,'Daily Data'!$D:$D,DashBoard!$C12)</f>
        <v>0</v>
      </c>
      <c r="AG12" s="29">
        <f>SUMIFS('Daily Data'!$F:$F,'Daily Data'!$A:$A,DashBoard!AG$8,'Daily Data'!$B:$B,DashBoard!$D$2,'Daily Data'!$C:$C,DashBoard!$D$3,'Daily Data'!$D:$D,DashBoard!$C12)</f>
        <v>0</v>
      </c>
      <c r="AH12" s="29">
        <f>SUMIFS('Daily Data'!$F:$F,'Daily Data'!$A:$A,DashBoard!AH$8,'Daily Data'!$B:$B,DashBoard!$D$2,'Daily Data'!$C:$C,DashBoard!$D$3,'Daily Data'!$D:$D,DashBoard!$C12)</f>
        <v>0</v>
      </c>
      <c r="AI12" s="29">
        <f>SUMIFS('Daily Data'!$F:$F,'Daily Data'!$A:$A,DashBoard!AI$8,'Daily Data'!$B:$B,DashBoard!$D$2,'Daily Data'!$C:$C,DashBoard!$D$3,'Daily Data'!$D:$D,DashBoard!$C12)</f>
        <v>0</v>
      </c>
      <c r="AJ12" s="15">
        <f t="shared" si="2"/>
        <v>0</v>
      </c>
      <c r="AK12" s="15">
        <f t="shared" si="3"/>
        <v>0</v>
      </c>
    </row>
    <row r="13" spans="2:37">
      <c r="B13" s="79"/>
      <c r="C13" s="44" t="str">
        <v>Tea premix</v>
      </c>
      <c r="D13" s="30">
        <f>_xlfn.IFNA(VLOOKUP(C13,'Monthly Data'!E:I,5,0),"0")</f>
        <v>160</v>
      </c>
      <c r="E13" s="29">
        <f>SUMIFS('Daily Data'!$F:$F,'Daily Data'!$A:$A,DashBoard!E$8,'Daily Data'!$B:$B,DashBoard!$D$2,'Daily Data'!$C:$C,DashBoard!$D$3,'Daily Data'!$D:$D,DashBoard!$C13)</f>
        <v>0</v>
      </c>
      <c r="F13" s="29">
        <f>SUMIFS('Daily Data'!$F:$F,'Daily Data'!$A:$A,DashBoard!F$8,'Daily Data'!$B:$B,DashBoard!$D$2,'Daily Data'!$C:$C,DashBoard!$D$3,'Daily Data'!$D:$D,DashBoard!$C13)</f>
        <v>0</v>
      </c>
      <c r="G13" s="29">
        <f>SUMIFS('Daily Data'!$F:$F,'Daily Data'!$A:$A,DashBoard!G$8,'Daily Data'!$B:$B,DashBoard!$D$2,'Daily Data'!$C:$C,DashBoard!$D$3,'Daily Data'!$D:$D,DashBoard!$C13)</f>
        <v>0</v>
      </c>
      <c r="H13" s="29">
        <f>SUMIFS('Daily Data'!$F:$F,'Daily Data'!$A:$A,DashBoard!H$8,'Daily Data'!$B:$B,DashBoard!$D$2,'Daily Data'!$C:$C,DashBoard!$D$3,'Daily Data'!$D:$D,DashBoard!$C13)</f>
        <v>0</v>
      </c>
      <c r="I13" s="29">
        <f>SUMIFS('Daily Data'!$F:$F,'Daily Data'!$A:$A,DashBoard!I$8,'Daily Data'!$B:$B,DashBoard!$D$2,'Daily Data'!$C:$C,DashBoard!$D$3,'Daily Data'!$D:$D,DashBoard!$C13)</f>
        <v>0</v>
      </c>
      <c r="J13" s="29">
        <f>SUMIFS('Daily Data'!$F:$F,'Daily Data'!$A:$A,DashBoard!J$8,'Daily Data'!$B:$B,DashBoard!$D$2,'Daily Data'!$C:$C,DashBoard!$D$3,'Daily Data'!$D:$D,DashBoard!$C13)</f>
        <v>0</v>
      </c>
      <c r="K13" s="29">
        <f>SUMIFS('Daily Data'!$F:$F,'Daily Data'!$A:$A,DashBoard!K$8,'Daily Data'!$B:$B,DashBoard!$D$2,'Daily Data'!$C:$C,DashBoard!$D$3,'Daily Data'!$D:$D,DashBoard!$C13)</f>
        <v>0</v>
      </c>
      <c r="L13" s="29">
        <f>SUMIFS('Daily Data'!$F:$F,'Daily Data'!$A:$A,DashBoard!L$8,'Daily Data'!$B:$B,DashBoard!$D$2,'Daily Data'!$C:$C,DashBoard!$D$3,'Daily Data'!$D:$D,DashBoard!$C13)</f>
        <v>0</v>
      </c>
      <c r="M13" s="29">
        <f>SUMIFS('Daily Data'!$F:$F,'Daily Data'!$A:$A,DashBoard!M$8,'Daily Data'!$B:$B,DashBoard!$D$2,'Daily Data'!$C:$C,DashBoard!$D$3,'Daily Data'!$D:$D,DashBoard!$C13)</f>
        <v>0</v>
      </c>
      <c r="N13" s="29">
        <f>SUMIFS('Daily Data'!$F:$F,'Daily Data'!$A:$A,DashBoard!N$8,'Daily Data'!$B:$B,DashBoard!$D$2,'Daily Data'!$C:$C,DashBoard!$D$3,'Daily Data'!$D:$D,DashBoard!$C13)</f>
        <v>0</v>
      </c>
      <c r="O13" s="29">
        <f>SUMIFS('Daily Data'!$F:$F,'Daily Data'!$A:$A,DashBoard!O$8,'Daily Data'!$B:$B,DashBoard!$D$2,'Daily Data'!$C:$C,DashBoard!$D$3,'Daily Data'!$D:$D,DashBoard!$C13)</f>
        <v>0</v>
      </c>
      <c r="P13" s="29">
        <f>SUMIFS('Daily Data'!$F:$F,'Daily Data'!$A:$A,DashBoard!P$8,'Daily Data'!$B:$B,DashBoard!$D$2,'Daily Data'!$C:$C,DashBoard!$D$3,'Daily Data'!$D:$D,DashBoard!$C13)</f>
        <v>0</v>
      </c>
      <c r="Q13" s="29">
        <f>SUMIFS('Daily Data'!$F:$F,'Daily Data'!$A:$A,DashBoard!Q$8,'Daily Data'!$B:$B,DashBoard!$D$2,'Daily Data'!$C:$C,DashBoard!$D$3,'Daily Data'!$D:$D,DashBoard!$C13)</f>
        <v>0</v>
      </c>
      <c r="R13" s="29">
        <f>SUMIFS('Daily Data'!$F:$F,'Daily Data'!$A:$A,DashBoard!R$8,'Daily Data'!$B:$B,DashBoard!$D$2,'Daily Data'!$C:$C,DashBoard!$D$3,'Daily Data'!$D:$D,DashBoard!$C13)</f>
        <v>0</v>
      </c>
      <c r="S13" s="29">
        <f>SUMIFS('Daily Data'!$F:$F,'Daily Data'!$A:$A,DashBoard!S$8,'Daily Data'!$B:$B,DashBoard!$D$2,'Daily Data'!$C:$C,DashBoard!$D$3,'Daily Data'!$D:$D,DashBoard!$C13)</f>
        <v>0</v>
      </c>
      <c r="T13" s="29">
        <f>SUMIFS('Daily Data'!$F:$F,'Daily Data'!$A:$A,DashBoard!T$8,'Daily Data'!$B:$B,DashBoard!$D$2,'Daily Data'!$C:$C,DashBoard!$D$3,'Daily Data'!$D:$D,DashBoard!$C13)</f>
        <v>0</v>
      </c>
      <c r="U13" s="29">
        <f>SUMIFS('Daily Data'!$F:$F,'Daily Data'!$A:$A,DashBoard!U$8,'Daily Data'!$B:$B,DashBoard!$D$2,'Daily Data'!$C:$C,DashBoard!$D$3,'Daily Data'!$D:$D,DashBoard!$C13)</f>
        <v>0</v>
      </c>
      <c r="V13" s="29">
        <f>SUMIFS('Daily Data'!$F:$F,'Daily Data'!$A:$A,DashBoard!V$8,'Daily Data'!$B:$B,DashBoard!$D$2,'Daily Data'!$C:$C,DashBoard!$D$3,'Daily Data'!$D:$D,DashBoard!$C13)</f>
        <v>0</v>
      </c>
      <c r="W13" s="29">
        <f>SUMIFS('Daily Data'!$F:$F,'Daily Data'!$A:$A,DashBoard!W$8,'Daily Data'!$B:$B,DashBoard!$D$2,'Daily Data'!$C:$C,DashBoard!$D$3,'Daily Data'!$D:$D,DashBoard!$C13)</f>
        <v>0</v>
      </c>
      <c r="X13" s="29">
        <f>SUMIFS('Daily Data'!$F:$F,'Daily Data'!$A:$A,DashBoard!X$8,'Daily Data'!$B:$B,DashBoard!$D$2,'Daily Data'!$C:$C,DashBoard!$D$3,'Daily Data'!$D:$D,DashBoard!$C13)</f>
        <v>0</v>
      </c>
      <c r="Y13" s="29">
        <f>SUMIFS('Daily Data'!$F:$F,'Daily Data'!$A:$A,DashBoard!Y$8,'Daily Data'!$B:$B,DashBoard!$D$2,'Daily Data'!$C:$C,DashBoard!$D$3,'Daily Data'!$D:$D,DashBoard!$C13)</f>
        <v>0</v>
      </c>
      <c r="Z13" s="29">
        <f>SUMIFS('Daily Data'!$F:$F,'Daily Data'!$A:$A,DashBoard!Z$8,'Daily Data'!$B:$B,DashBoard!$D$2,'Daily Data'!$C:$C,DashBoard!$D$3,'Daily Data'!$D:$D,DashBoard!$C13)</f>
        <v>0</v>
      </c>
      <c r="AA13" s="29">
        <f>SUMIFS('Daily Data'!$F:$F,'Daily Data'!$A:$A,DashBoard!AA$8,'Daily Data'!$B:$B,DashBoard!$D$2,'Daily Data'!$C:$C,DashBoard!$D$3,'Daily Data'!$D:$D,DashBoard!$C13)</f>
        <v>0</v>
      </c>
      <c r="AB13" s="31">
        <f>SUMIFS('Daily Data'!$F:$F,'Daily Data'!$A:$A,DashBoard!AB$8,'Daily Data'!$B:$B,DashBoard!$D$2,'Daily Data'!$C:$C,DashBoard!$D$3,'Daily Data'!$D:$D,DashBoard!$C13)</f>
        <v>0</v>
      </c>
      <c r="AC13" s="29">
        <f>SUMIFS('Daily Data'!$F:$F,'Daily Data'!$A:$A,DashBoard!AC$8,'Daily Data'!$B:$B,DashBoard!$D$2,'Daily Data'!$C:$C,DashBoard!$D$3,'Daily Data'!$D:$D,DashBoard!$C13)</f>
        <v>0</v>
      </c>
      <c r="AD13" s="29">
        <f>SUMIFS('Daily Data'!$F:$F,'Daily Data'!$A:$A,DashBoard!AD$8,'Daily Data'!$B:$B,DashBoard!$D$2,'Daily Data'!$C:$C,DashBoard!$D$3,'Daily Data'!$D:$D,DashBoard!$C13)</f>
        <v>0</v>
      </c>
      <c r="AE13" s="29">
        <f>SUMIFS('Daily Data'!$F:$F,'Daily Data'!$A:$A,DashBoard!AE$8,'Daily Data'!$B:$B,DashBoard!$D$2,'Daily Data'!$C:$C,DashBoard!$D$3,'Daily Data'!$D:$D,DashBoard!$C13)</f>
        <v>0</v>
      </c>
      <c r="AF13" s="29">
        <f>SUMIFS('Daily Data'!$F:$F,'Daily Data'!$A:$A,DashBoard!AF$8,'Daily Data'!$B:$B,DashBoard!$D$2,'Daily Data'!$C:$C,DashBoard!$D$3,'Daily Data'!$D:$D,DashBoard!$C13)</f>
        <v>0</v>
      </c>
      <c r="AG13" s="29">
        <f>SUMIFS('Daily Data'!$F:$F,'Daily Data'!$A:$A,DashBoard!AG$8,'Daily Data'!$B:$B,DashBoard!$D$2,'Daily Data'!$C:$C,DashBoard!$D$3,'Daily Data'!$D:$D,DashBoard!$C13)</f>
        <v>0</v>
      </c>
      <c r="AH13" s="29">
        <f>SUMIFS('Daily Data'!$F:$F,'Daily Data'!$A:$A,DashBoard!AH$8,'Daily Data'!$B:$B,DashBoard!$D$2,'Daily Data'!$C:$C,DashBoard!$D$3,'Daily Data'!$D:$D,DashBoard!$C13)</f>
        <v>0</v>
      </c>
      <c r="AI13" s="29">
        <f>SUMIFS('Daily Data'!$F:$F,'Daily Data'!$A:$A,DashBoard!AI$8,'Daily Data'!$B:$B,DashBoard!$D$2,'Daily Data'!$C:$C,DashBoard!$D$3,'Daily Data'!$D:$D,DashBoard!$C13)</f>
        <v>0</v>
      </c>
      <c r="AJ13" s="15">
        <f t="shared" si="2"/>
        <v>0</v>
      </c>
      <c r="AK13" s="15">
        <f t="shared" si="3"/>
        <v>0</v>
      </c>
    </row>
    <row r="14" spans="2:37">
      <c r="B14" s="79"/>
      <c r="C14" s="44" t="str">
        <v>Coffee</v>
      </c>
      <c r="D14" s="30">
        <f>_xlfn.IFNA(VLOOKUP(C14,'Monthly Data'!E:I,5,0),"0")</f>
        <v>160</v>
      </c>
      <c r="E14" s="29">
        <f>SUMIFS('Daily Data'!$F:$F,'Daily Data'!$A:$A,DashBoard!E$8,'Daily Data'!$B:$B,DashBoard!$D$2,'Daily Data'!$C:$C,DashBoard!$D$3,'Daily Data'!$D:$D,DashBoard!$C14)</f>
        <v>0</v>
      </c>
      <c r="F14" s="29">
        <f>SUMIFS('Daily Data'!$F:$F,'Daily Data'!$A:$A,DashBoard!F$8,'Daily Data'!$B:$B,DashBoard!$D$2,'Daily Data'!$C:$C,DashBoard!$D$3,'Daily Data'!$D:$D,DashBoard!$C14)</f>
        <v>0</v>
      </c>
      <c r="G14" s="29">
        <f>SUMIFS('Daily Data'!$F:$F,'Daily Data'!$A:$A,DashBoard!G$8,'Daily Data'!$B:$B,DashBoard!$D$2,'Daily Data'!$C:$C,DashBoard!$D$3,'Daily Data'!$D:$D,DashBoard!$C14)</f>
        <v>0</v>
      </c>
      <c r="H14" s="29">
        <f>SUMIFS('Daily Data'!$F:$F,'Daily Data'!$A:$A,DashBoard!H$8,'Daily Data'!$B:$B,DashBoard!$D$2,'Daily Data'!$C:$C,DashBoard!$D$3,'Daily Data'!$D:$D,DashBoard!$C14)</f>
        <v>0</v>
      </c>
      <c r="I14" s="29">
        <f>SUMIFS('Daily Data'!$F:$F,'Daily Data'!$A:$A,DashBoard!I$8,'Daily Data'!$B:$B,DashBoard!$D$2,'Daily Data'!$C:$C,DashBoard!$D$3,'Daily Data'!$D:$D,DashBoard!$C14)</f>
        <v>0</v>
      </c>
      <c r="J14" s="29">
        <f>SUMIFS('Daily Data'!$F:$F,'Daily Data'!$A:$A,DashBoard!J$8,'Daily Data'!$B:$B,DashBoard!$D$2,'Daily Data'!$C:$C,DashBoard!$D$3,'Daily Data'!$D:$D,DashBoard!$C14)</f>
        <v>0</v>
      </c>
      <c r="K14" s="29">
        <f>SUMIFS('Daily Data'!$F:$F,'Daily Data'!$A:$A,DashBoard!K$8,'Daily Data'!$B:$B,DashBoard!$D$2,'Daily Data'!$C:$C,DashBoard!$D$3,'Daily Data'!$D:$D,DashBoard!$C14)</f>
        <v>0</v>
      </c>
      <c r="L14" s="29">
        <f>SUMIFS('Daily Data'!$F:$F,'Daily Data'!$A:$A,DashBoard!L$8,'Daily Data'!$B:$B,DashBoard!$D$2,'Daily Data'!$C:$C,DashBoard!$D$3,'Daily Data'!$D:$D,DashBoard!$C14)</f>
        <v>0</v>
      </c>
      <c r="M14" s="29">
        <f>SUMIFS('Daily Data'!$F:$F,'Daily Data'!$A:$A,DashBoard!M$8,'Daily Data'!$B:$B,DashBoard!$D$2,'Daily Data'!$C:$C,DashBoard!$D$3,'Daily Data'!$D:$D,DashBoard!$C14)</f>
        <v>0</v>
      </c>
      <c r="N14" s="29">
        <f>SUMIFS('Daily Data'!$F:$F,'Daily Data'!$A:$A,DashBoard!N$8,'Daily Data'!$B:$B,DashBoard!$D$2,'Daily Data'!$C:$C,DashBoard!$D$3,'Daily Data'!$D:$D,DashBoard!$C14)</f>
        <v>0</v>
      </c>
      <c r="O14" s="29">
        <f>SUMIFS('Daily Data'!$F:$F,'Daily Data'!$A:$A,DashBoard!O$8,'Daily Data'!$B:$B,DashBoard!$D$2,'Daily Data'!$C:$C,DashBoard!$D$3,'Daily Data'!$D:$D,DashBoard!$C14)</f>
        <v>0</v>
      </c>
      <c r="P14" s="29">
        <f>SUMIFS('Daily Data'!$F:$F,'Daily Data'!$A:$A,DashBoard!P$8,'Daily Data'!$B:$B,DashBoard!$D$2,'Daily Data'!$C:$C,DashBoard!$D$3,'Daily Data'!$D:$D,DashBoard!$C14)</f>
        <v>0</v>
      </c>
      <c r="Q14" s="29">
        <f>SUMIFS('Daily Data'!$F:$F,'Daily Data'!$A:$A,DashBoard!Q$8,'Daily Data'!$B:$B,DashBoard!$D$2,'Daily Data'!$C:$C,DashBoard!$D$3,'Daily Data'!$D:$D,DashBoard!$C14)</f>
        <v>0</v>
      </c>
      <c r="R14" s="29">
        <f>SUMIFS('Daily Data'!$F:$F,'Daily Data'!$A:$A,DashBoard!R$8,'Daily Data'!$B:$B,DashBoard!$D$2,'Daily Data'!$C:$C,DashBoard!$D$3,'Daily Data'!$D:$D,DashBoard!$C14)</f>
        <v>0</v>
      </c>
      <c r="S14" s="29">
        <f>SUMIFS('Daily Data'!$F:$F,'Daily Data'!$A:$A,DashBoard!S$8,'Daily Data'!$B:$B,DashBoard!$D$2,'Daily Data'!$C:$C,DashBoard!$D$3,'Daily Data'!$D:$D,DashBoard!$C14)</f>
        <v>0</v>
      </c>
      <c r="T14" s="29">
        <f>SUMIFS('Daily Data'!$F:$F,'Daily Data'!$A:$A,DashBoard!T$8,'Daily Data'!$B:$B,DashBoard!$D$2,'Daily Data'!$C:$C,DashBoard!$D$3,'Daily Data'!$D:$D,DashBoard!$C14)</f>
        <v>0</v>
      </c>
      <c r="U14" s="29">
        <f>SUMIFS('Daily Data'!$F:$F,'Daily Data'!$A:$A,DashBoard!U$8,'Daily Data'!$B:$B,DashBoard!$D$2,'Daily Data'!$C:$C,DashBoard!$D$3,'Daily Data'!$D:$D,DashBoard!$C14)</f>
        <v>0</v>
      </c>
      <c r="V14" s="29">
        <f>SUMIFS('Daily Data'!$F:$F,'Daily Data'!$A:$A,DashBoard!V$8,'Daily Data'!$B:$B,DashBoard!$D$2,'Daily Data'!$C:$C,DashBoard!$D$3,'Daily Data'!$D:$D,DashBoard!$C14)</f>
        <v>0</v>
      </c>
      <c r="W14" s="29">
        <f>SUMIFS('Daily Data'!$F:$F,'Daily Data'!$A:$A,DashBoard!W$8,'Daily Data'!$B:$B,DashBoard!$D$2,'Daily Data'!$C:$C,DashBoard!$D$3,'Daily Data'!$D:$D,DashBoard!$C14)</f>
        <v>0</v>
      </c>
      <c r="X14" s="29">
        <f>SUMIFS('Daily Data'!$F:$F,'Daily Data'!$A:$A,DashBoard!X$8,'Daily Data'!$B:$B,DashBoard!$D$2,'Daily Data'!$C:$C,DashBoard!$D$3,'Daily Data'!$D:$D,DashBoard!$C14)</f>
        <v>0</v>
      </c>
      <c r="Y14" s="29">
        <f>SUMIFS('Daily Data'!$F:$F,'Daily Data'!$A:$A,DashBoard!Y$8,'Daily Data'!$B:$B,DashBoard!$D$2,'Daily Data'!$C:$C,DashBoard!$D$3,'Daily Data'!$D:$D,DashBoard!$C14)</f>
        <v>0</v>
      </c>
      <c r="Z14" s="29">
        <f>SUMIFS('Daily Data'!$F:$F,'Daily Data'!$A:$A,DashBoard!Z$8,'Daily Data'!$B:$B,DashBoard!$D$2,'Daily Data'!$C:$C,DashBoard!$D$3,'Daily Data'!$D:$D,DashBoard!$C14)</f>
        <v>0</v>
      </c>
      <c r="AA14" s="29">
        <f>SUMIFS('Daily Data'!$F:$F,'Daily Data'!$A:$A,DashBoard!AA$8,'Daily Data'!$B:$B,DashBoard!$D$2,'Daily Data'!$C:$C,DashBoard!$D$3,'Daily Data'!$D:$D,DashBoard!$C14)</f>
        <v>0</v>
      </c>
      <c r="AB14" s="31">
        <f>SUMIFS('Daily Data'!$F:$F,'Daily Data'!$A:$A,DashBoard!AB$8,'Daily Data'!$B:$B,DashBoard!$D$2,'Daily Data'!$C:$C,DashBoard!$D$3,'Daily Data'!$D:$D,DashBoard!$C14)</f>
        <v>0</v>
      </c>
      <c r="AC14" s="29">
        <f>SUMIFS('Daily Data'!$F:$F,'Daily Data'!$A:$A,DashBoard!AC$8,'Daily Data'!$B:$B,DashBoard!$D$2,'Daily Data'!$C:$C,DashBoard!$D$3,'Daily Data'!$D:$D,DashBoard!$C14)</f>
        <v>0</v>
      </c>
      <c r="AD14" s="29">
        <f>SUMIFS('Daily Data'!$F:$F,'Daily Data'!$A:$A,DashBoard!AD$8,'Daily Data'!$B:$B,DashBoard!$D$2,'Daily Data'!$C:$C,DashBoard!$D$3,'Daily Data'!$D:$D,DashBoard!$C14)</f>
        <v>0</v>
      </c>
      <c r="AE14" s="29">
        <f>SUMIFS('Daily Data'!$F:$F,'Daily Data'!$A:$A,DashBoard!AE$8,'Daily Data'!$B:$B,DashBoard!$D$2,'Daily Data'!$C:$C,DashBoard!$D$3,'Daily Data'!$D:$D,DashBoard!$C14)</f>
        <v>0</v>
      </c>
      <c r="AF14" s="29">
        <f>SUMIFS('Daily Data'!$F:$F,'Daily Data'!$A:$A,DashBoard!AF$8,'Daily Data'!$B:$B,DashBoard!$D$2,'Daily Data'!$C:$C,DashBoard!$D$3,'Daily Data'!$D:$D,DashBoard!$C14)</f>
        <v>0</v>
      </c>
      <c r="AG14" s="29">
        <f>SUMIFS('Daily Data'!$F:$F,'Daily Data'!$A:$A,DashBoard!AG$8,'Daily Data'!$B:$B,DashBoard!$D$2,'Daily Data'!$C:$C,DashBoard!$D$3,'Daily Data'!$D:$D,DashBoard!$C14)</f>
        <v>0</v>
      </c>
      <c r="AH14" s="29">
        <f>SUMIFS('Daily Data'!$F:$F,'Daily Data'!$A:$A,DashBoard!AH$8,'Daily Data'!$B:$B,DashBoard!$D$2,'Daily Data'!$C:$C,DashBoard!$D$3,'Daily Data'!$D:$D,DashBoard!$C14)</f>
        <v>0</v>
      </c>
      <c r="AI14" s="29">
        <f>SUMIFS('Daily Data'!$F:$F,'Daily Data'!$A:$A,DashBoard!AI$8,'Daily Data'!$B:$B,DashBoard!$D$2,'Daily Data'!$C:$C,DashBoard!$D$3,'Daily Data'!$D:$D,DashBoard!$C14)</f>
        <v>0</v>
      </c>
      <c r="AJ14" s="15">
        <f t="shared" si="2"/>
        <v>0</v>
      </c>
      <c r="AK14" s="15">
        <f t="shared" si="3"/>
        <v>0</v>
      </c>
    </row>
    <row r="15" spans="2:37">
      <c r="B15" s="79"/>
      <c r="C15" s="44" t="str">
        <v>Flavor Tea bag Flavored -Plain</v>
      </c>
      <c r="D15" s="30">
        <f>_xlfn.IFNA(VLOOKUP(C15,'Monthly Data'!E:I,5,0),"0")</f>
        <v>200</v>
      </c>
      <c r="E15" s="29">
        <f>SUMIFS('Daily Data'!$F:$F,'Daily Data'!$A:$A,DashBoard!E$8,'Daily Data'!$B:$B,DashBoard!$D$2,'Daily Data'!$C:$C,DashBoard!$D$3,'Daily Data'!$D:$D,DashBoard!$C15)</f>
        <v>0</v>
      </c>
      <c r="F15" s="29">
        <f>SUMIFS('Daily Data'!$F:$F,'Daily Data'!$A:$A,DashBoard!F$8,'Daily Data'!$B:$B,DashBoard!$D$2,'Daily Data'!$C:$C,DashBoard!$D$3,'Daily Data'!$D:$D,DashBoard!$C15)</f>
        <v>0</v>
      </c>
      <c r="G15" s="29">
        <f>SUMIFS('Daily Data'!$F:$F,'Daily Data'!$A:$A,DashBoard!G$8,'Daily Data'!$B:$B,DashBoard!$D$2,'Daily Data'!$C:$C,DashBoard!$D$3,'Daily Data'!$D:$D,DashBoard!$C15)</f>
        <v>0</v>
      </c>
      <c r="H15" s="29">
        <f>SUMIFS('Daily Data'!$F:$F,'Daily Data'!$A:$A,DashBoard!H$8,'Daily Data'!$B:$B,DashBoard!$D$2,'Daily Data'!$C:$C,DashBoard!$D$3,'Daily Data'!$D:$D,DashBoard!$C15)</f>
        <v>0</v>
      </c>
      <c r="I15" s="29">
        <f>SUMIFS('Daily Data'!$F:$F,'Daily Data'!$A:$A,DashBoard!I$8,'Daily Data'!$B:$B,DashBoard!$D$2,'Daily Data'!$C:$C,DashBoard!$D$3,'Daily Data'!$D:$D,DashBoard!$C15)</f>
        <v>0</v>
      </c>
      <c r="J15" s="29">
        <f>SUMIFS('Daily Data'!$F:$F,'Daily Data'!$A:$A,DashBoard!J$8,'Daily Data'!$B:$B,DashBoard!$D$2,'Daily Data'!$C:$C,DashBoard!$D$3,'Daily Data'!$D:$D,DashBoard!$C15)</f>
        <v>0</v>
      </c>
      <c r="K15" s="29">
        <f>SUMIFS('Daily Data'!$F:$F,'Daily Data'!$A:$A,DashBoard!K$8,'Daily Data'!$B:$B,DashBoard!$D$2,'Daily Data'!$C:$C,DashBoard!$D$3,'Daily Data'!$D:$D,DashBoard!$C15)</f>
        <v>0</v>
      </c>
      <c r="L15" s="29">
        <f>SUMIFS('Daily Data'!$F:$F,'Daily Data'!$A:$A,DashBoard!L$8,'Daily Data'!$B:$B,DashBoard!$D$2,'Daily Data'!$C:$C,DashBoard!$D$3,'Daily Data'!$D:$D,DashBoard!$C15)</f>
        <v>0</v>
      </c>
      <c r="M15" s="29">
        <f>SUMIFS('Daily Data'!$F:$F,'Daily Data'!$A:$A,DashBoard!M$8,'Daily Data'!$B:$B,DashBoard!$D$2,'Daily Data'!$C:$C,DashBoard!$D$3,'Daily Data'!$D:$D,DashBoard!$C15)</f>
        <v>0</v>
      </c>
      <c r="N15" s="29">
        <f>SUMIFS('Daily Data'!$F:$F,'Daily Data'!$A:$A,DashBoard!N$8,'Daily Data'!$B:$B,DashBoard!$D$2,'Daily Data'!$C:$C,DashBoard!$D$3,'Daily Data'!$D:$D,DashBoard!$C15)</f>
        <v>0</v>
      </c>
      <c r="O15" s="29">
        <f>SUMIFS('Daily Data'!$F:$F,'Daily Data'!$A:$A,DashBoard!O$8,'Daily Data'!$B:$B,DashBoard!$D$2,'Daily Data'!$C:$C,DashBoard!$D$3,'Daily Data'!$D:$D,DashBoard!$C15)</f>
        <v>0</v>
      </c>
      <c r="P15" s="29">
        <f>SUMIFS('Daily Data'!$F:$F,'Daily Data'!$A:$A,DashBoard!P$8,'Daily Data'!$B:$B,DashBoard!$D$2,'Daily Data'!$C:$C,DashBoard!$D$3,'Daily Data'!$D:$D,DashBoard!$C15)</f>
        <v>0</v>
      </c>
      <c r="Q15" s="29">
        <f>SUMIFS('Daily Data'!$F:$F,'Daily Data'!$A:$A,DashBoard!Q$8,'Daily Data'!$B:$B,DashBoard!$D$2,'Daily Data'!$C:$C,DashBoard!$D$3,'Daily Data'!$D:$D,DashBoard!$C15)</f>
        <v>0</v>
      </c>
      <c r="R15" s="29">
        <f>SUMIFS('Daily Data'!$F:$F,'Daily Data'!$A:$A,DashBoard!R$8,'Daily Data'!$B:$B,DashBoard!$D$2,'Daily Data'!$C:$C,DashBoard!$D$3,'Daily Data'!$D:$D,DashBoard!$C15)</f>
        <v>0</v>
      </c>
      <c r="S15" s="29">
        <f>SUMIFS('Daily Data'!$F:$F,'Daily Data'!$A:$A,DashBoard!S$8,'Daily Data'!$B:$B,DashBoard!$D$2,'Daily Data'!$C:$C,DashBoard!$D$3,'Daily Data'!$D:$D,DashBoard!$C15)</f>
        <v>0</v>
      </c>
      <c r="T15" s="29">
        <f>SUMIFS('Daily Data'!$F:$F,'Daily Data'!$A:$A,DashBoard!T$8,'Daily Data'!$B:$B,DashBoard!$D$2,'Daily Data'!$C:$C,DashBoard!$D$3,'Daily Data'!$D:$D,DashBoard!$C15)</f>
        <v>0</v>
      </c>
      <c r="U15" s="29">
        <f>SUMIFS('Daily Data'!$F:$F,'Daily Data'!$A:$A,DashBoard!U$8,'Daily Data'!$B:$B,DashBoard!$D$2,'Daily Data'!$C:$C,DashBoard!$D$3,'Daily Data'!$D:$D,DashBoard!$C15)</f>
        <v>0</v>
      </c>
      <c r="V15" s="29">
        <f>SUMIFS('Daily Data'!$F:$F,'Daily Data'!$A:$A,DashBoard!V$8,'Daily Data'!$B:$B,DashBoard!$D$2,'Daily Data'!$C:$C,DashBoard!$D$3,'Daily Data'!$D:$D,DashBoard!$C15)</f>
        <v>0</v>
      </c>
      <c r="W15" s="29">
        <f>SUMIFS('Daily Data'!$F:$F,'Daily Data'!$A:$A,DashBoard!W$8,'Daily Data'!$B:$B,DashBoard!$D$2,'Daily Data'!$C:$C,DashBoard!$D$3,'Daily Data'!$D:$D,DashBoard!$C15)</f>
        <v>0</v>
      </c>
      <c r="X15" s="29">
        <f>SUMIFS('Daily Data'!$F:$F,'Daily Data'!$A:$A,DashBoard!X$8,'Daily Data'!$B:$B,DashBoard!$D$2,'Daily Data'!$C:$C,DashBoard!$D$3,'Daily Data'!$D:$D,DashBoard!$C15)</f>
        <v>0</v>
      </c>
      <c r="Y15" s="29">
        <f>SUMIFS('Daily Data'!$F:$F,'Daily Data'!$A:$A,DashBoard!Y$8,'Daily Data'!$B:$B,DashBoard!$D$2,'Daily Data'!$C:$C,DashBoard!$D$3,'Daily Data'!$D:$D,DashBoard!$C15)</f>
        <v>0</v>
      </c>
      <c r="Z15" s="29">
        <f>SUMIFS('Daily Data'!$F:$F,'Daily Data'!$A:$A,DashBoard!Z$8,'Daily Data'!$B:$B,DashBoard!$D$2,'Daily Data'!$C:$C,DashBoard!$D$3,'Daily Data'!$D:$D,DashBoard!$C15)</f>
        <v>0</v>
      </c>
      <c r="AA15" s="29">
        <f>SUMIFS('Daily Data'!$F:$F,'Daily Data'!$A:$A,DashBoard!AA$8,'Daily Data'!$B:$B,DashBoard!$D$2,'Daily Data'!$C:$C,DashBoard!$D$3,'Daily Data'!$D:$D,DashBoard!$C15)</f>
        <v>0</v>
      </c>
      <c r="AB15" s="31">
        <f>SUMIFS('Daily Data'!$F:$F,'Daily Data'!$A:$A,DashBoard!AB$8,'Daily Data'!$B:$B,DashBoard!$D$2,'Daily Data'!$C:$C,DashBoard!$D$3,'Daily Data'!$D:$D,DashBoard!$C15)</f>
        <v>0</v>
      </c>
      <c r="AC15" s="29">
        <f>SUMIFS('Daily Data'!$F:$F,'Daily Data'!$A:$A,DashBoard!AC$8,'Daily Data'!$B:$B,DashBoard!$D$2,'Daily Data'!$C:$C,DashBoard!$D$3,'Daily Data'!$D:$D,DashBoard!$C15)</f>
        <v>0</v>
      </c>
      <c r="AD15" s="29">
        <f>SUMIFS('Daily Data'!$F:$F,'Daily Data'!$A:$A,DashBoard!AD$8,'Daily Data'!$B:$B,DashBoard!$D$2,'Daily Data'!$C:$C,DashBoard!$D$3,'Daily Data'!$D:$D,DashBoard!$C15)</f>
        <v>0</v>
      </c>
      <c r="AE15" s="29">
        <f>SUMIFS('Daily Data'!$F:$F,'Daily Data'!$A:$A,DashBoard!AE$8,'Daily Data'!$B:$B,DashBoard!$D$2,'Daily Data'!$C:$C,DashBoard!$D$3,'Daily Data'!$D:$D,DashBoard!$C15)</f>
        <v>0</v>
      </c>
      <c r="AF15" s="29">
        <f>SUMIFS('Daily Data'!$F:$F,'Daily Data'!$A:$A,DashBoard!AF$8,'Daily Data'!$B:$B,DashBoard!$D$2,'Daily Data'!$C:$C,DashBoard!$D$3,'Daily Data'!$D:$D,DashBoard!$C15)</f>
        <v>0</v>
      </c>
      <c r="AG15" s="29">
        <f>SUMIFS('Daily Data'!$F:$F,'Daily Data'!$A:$A,DashBoard!AG$8,'Daily Data'!$B:$B,DashBoard!$D$2,'Daily Data'!$C:$C,DashBoard!$D$3,'Daily Data'!$D:$D,DashBoard!$C15)</f>
        <v>0</v>
      </c>
      <c r="AH15" s="29">
        <f>SUMIFS('Daily Data'!$F:$F,'Daily Data'!$A:$A,DashBoard!AH$8,'Daily Data'!$B:$B,DashBoard!$D$2,'Daily Data'!$C:$C,DashBoard!$D$3,'Daily Data'!$D:$D,DashBoard!$C15)</f>
        <v>0</v>
      </c>
      <c r="AI15" s="29">
        <f>SUMIFS('Daily Data'!$F:$F,'Daily Data'!$A:$A,DashBoard!AI$8,'Daily Data'!$B:$B,DashBoard!$D$2,'Daily Data'!$C:$C,DashBoard!$D$3,'Daily Data'!$D:$D,DashBoard!$C15)</f>
        <v>0</v>
      </c>
      <c r="AJ15" s="15">
        <f t="shared" si="2"/>
        <v>0</v>
      </c>
      <c r="AK15" s="15">
        <f t="shared" si="3"/>
        <v>0</v>
      </c>
    </row>
    <row r="16" spans="2:37">
      <c r="B16" s="79"/>
      <c r="C16" s="44" t="str">
        <v>Flavor Tea bag Flavored -Cardamom</v>
      </c>
      <c r="D16" s="30">
        <f>_xlfn.IFNA(VLOOKUP(C16,'Monthly Data'!E:I,5,0),"0")</f>
        <v>220</v>
      </c>
      <c r="E16" s="29">
        <f>SUMIFS('Daily Data'!$F:$F,'Daily Data'!$A:$A,DashBoard!E$8,'Daily Data'!$B:$B,DashBoard!$D$2,'Daily Data'!$C:$C,DashBoard!$D$3,'Daily Data'!$D:$D,DashBoard!$C16)</f>
        <v>0</v>
      </c>
      <c r="F16" s="29">
        <f>SUMIFS('Daily Data'!$F:$F,'Daily Data'!$A:$A,DashBoard!F$8,'Daily Data'!$B:$B,DashBoard!$D$2,'Daily Data'!$C:$C,DashBoard!$D$3,'Daily Data'!$D:$D,DashBoard!$C16)</f>
        <v>0</v>
      </c>
      <c r="G16" s="29">
        <f>SUMIFS('Daily Data'!$F:$F,'Daily Data'!$A:$A,DashBoard!G$8,'Daily Data'!$B:$B,DashBoard!$D$2,'Daily Data'!$C:$C,DashBoard!$D$3,'Daily Data'!$D:$D,DashBoard!$C16)</f>
        <v>0</v>
      </c>
      <c r="H16" s="29">
        <f>SUMIFS('Daily Data'!$F:$F,'Daily Data'!$A:$A,DashBoard!H$8,'Daily Data'!$B:$B,DashBoard!$D$2,'Daily Data'!$C:$C,DashBoard!$D$3,'Daily Data'!$D:$D,DashBoard!$C16)</f>
        <v>0</v>
      </c>
      <c r="I16" s="29">
        <f>SUMIFS('Daily Data'!$F:$F,'Daily Data'!$A:$A,DashBoard!I$8,'Daily Data'!$B:$B,DashBoard!$D$2,'Daily Data'!$C:$C,DashBoard!$D$3,'Daily Data'!$D:$D,DashBoard!$C16)</f>
        <v>0</v>
      </c>
      <c r="J16" s="29">
        <f>SUMIFS('Daily Data'!$F:$F,'Daily Data'!$A:$A,DashBoard!J$8,'Daily Data'!$B:$B,DashBoard!$D$2,'Daily Data'!$C:$C,DashBoard!$D$3,'Daily Data'!$D:$D,DashBoard!$C16)</f>
        <v>0</v>
      </c>
      <c r="K16" s="29">
        <f>SUMIFS('Daily Data'!$F:$F,'Daily Data'!$A:$A,DashBoard!K$8,'Daily Data'!$B:$B,DashBoard!$D$2,'Daily Data'!$C:$C,DashBoard!$D$3,'Daily Data'!$D:$D,DashBoard!$C16)</f>
        <v>0</v>
      </c>
      <c r="L16" s="29">
        <f>SUMIFS('Daily Data'!$F:$F,'Daily Data'!$A:$A,DashBoard!L$8,'Daily Data'!$B:$B,DashBoard!$D$2,'Daily Data'!$C:$C,DashBoard!$D$3,'Daily Data'!$D:$D,DashBoard!$C16)</f>
        <v>0</v>
      </c>
      <c r="M16" s="29">
        <f>SUMIFS('Daily Data'!$F:$F,'Daily Data'!$A:$A,DashBoard!M$8,'Daily Data'!$B:$B,DashBoard!$D$2,'Daily Data'!$C:$C,DashBoard!$D$3,'Daily Data'!$D:$D,DashBoard!$C16)</f>
        <v>0</v>
      </c>
      <c r="N16" s="29">
        <f>SUMIFS('Daily Data'!$F:$F,'Daily Data'!$A:$A,DashBoard!N$8,'Daily Data'!$B:$B,DashBoard!$D$2,'Daily Data'!$C:$C,DashBoard!$D$3,'Daily Data'!$D:$D,DashBoard!$C16)</f>
        <v>0</v>
      </c>
      <c r="O16" s="29">
        <f>SUMIFS('Daily Data'!$F:$F,'Daily Data'!$A:$A,DashBoard!O$8,'Daily Data'!$B:$B,DashBoard!$D$2,'Daily Data'!$C:$C,DashBoard!$D$3,'Daily Data'!$D:$D,DashBoard!$C16)</f>
        <v>0</v>
      </c>
      <c r="P16" s="29">
        <f>SUMIFS('Daily Data'!$F:$F,'Daily Data'!$A:$A,DashBoard!P$8,'Daily Data'!$B:$B,DashBoard!$D$2,'Daily Data'!$C:$C,DashBoard!$D$3,'Daily Data'!$D:$D,DashBoard!$C16)</f>
        <v>0</v>
      </c>
      <c r="Q16" s="29">
        <f>SUMIFS('Daily Data'!$F:$F,'Daily Data'!$A:$A,DashBoard!Q$8,'Daily Data'!$B:$B,DashBoard!$D$2,'Daily Data'!$C:$C,DashBoard!$D$3,'Daily Data'!$D:$D,DashBoard!$C16)</f>
        <v>0</v>
      </c>
      <c r="R16" s="29">
        <f>SUMIFS('Daily Data'!$F:$F,'Daily Data'!$A:$A,DashBoard!R$8,'Daily Data'!$B:$B,DashBoard!$D$2,'Daily Data'!$C:$C,DashBoard!$D$3,'Daily Data'!$D:$D,DashBoard!$C16)</f>
        <v>0</v>
      </c>
      <c r="S16" s="29">
        <f>SUMIFS('Daily Data'!$F:$F,'Daily Data'!$A:$A,DashBoard!S$8,'Daily Data'!$B:$B,DashBoard!$D$2,'Daily Data'!$C:$C,DashBoard!$D$3,'Daily Data'!$D:$D,DashBoard!$C16)</f>
        <v>0</v>
      </c>
      <c r="T16" s="29">
        <f>SUMIFS('Daily Data'!$F:$F,'Daily Data'!$A:$A,DashBoard!T$8,'Daily Data'!$B:$B,DashBoard!$D$2,'Daily Data'!$C:$C,DashBoard!$D$3,'Daily Data'!$D:$D,DashBoard!$C16)</f>
        <v>0</v>
      </c>
      <c r="U16" s="29">
        <f>SUMIFS('Daily Data'!$F:$F,'Daily Data'!$A:$A,DashBoard!U$8,'Daily Data'!$B:$B,DashBoard!$D$2,'Daily Data'!$C:$C,DashBoard!$D$3,'Daily Data'!$D:$D,DashBoard!$C16)</f>
        <v>0</v>
      </c>
      <c r="V16" s="29">
        <f>SUMIFS('Daily Data'!$F:$F,'Daily Data'!$A:$A,DashBoard!V$8,'Daily Data'!$B:$B,DashBoard!$D$2,'Daily Data'!$C:$C,DashBoard!$D$3,'Daily Data'!$D:$D,DashBoard!$C16)</f>
        <v>0</v>
      </c>
      <c r="W16" s="29">
        <f>SUMIFS('Daily Data'!$F:$F,'Daily Data'!$A:$A,DashBoard!W$8,'Daily Data'!$B:$B,DashBoard!$D$2,'Daily Data'!$C:$C,DashBoard!$D$3,'Daily Data'!$D:$D,DashBoard!$C16)</f>
        <v>0</v>
      </c>
      <c r="X16" s="29">
        <f>SUMIFS('Daily Data'!$F:$F,'Daily Data'!$A:$A,DashBoard!X$8,'Daily Data'!$B:$B,DashBoard!$D$2,'Daily Data'!$C:$C,DashBoard!$D$3,'Daily Data'!$D:$D,DashBoard!$C16)</f>
        <v>0</v>
      </c>
      <c r="Y16" s="29">
        <f>SUMIFS('Daily Data'!$F:$F,'Daily Data'!$A:$A,DashBoard!Y$8,'Daily Data'!$B:$B,DashBoard!$D$2,'Daily Data'!$C:$C,DashBoard!$D$3,'Daily Data'!$D:$D,DashBoard!$C16)</f>
        <v>0</v>
      </c>
      <c r="Z16" s="29">
        <f>SUMIFS('Daily Data'!$F:$F,'Daily Data'!$A:$A,DashBoard!Z$8,'Daily Data'!$B:$B,DashBoard!$D$2,'Daily Data'!$C:$C,DashBoard!$D$3,'Daily Data'!$D:$D,DashBoard!$C16)</f>
        <v>0</v>
      </c>
      <c r="AA16" s="29">
        <f>SUMIFS('Daily Data'!$F:$F,'Daily Data'!$A:$A,DashBoard!AA$8,'Daily Data'!$B:$B,DashBoard!$D$2,'Daily Data'!$C:$C,DashBoard!$D$3,'Daily Data'!$D:$D,DashBoard!$C16)</f>
        <v>0</v>
      </c>
      <c r="AB16" s="31">
        <f>SUMIFS('Daily Data'!$F:$F,'Daily Data'!$A:$A,DashBoard!AB$8,'Daily Data'!$B:$B,DashBoard!$D$2,'Daily Data'!$C:$C,DashBoard!$D$3,'Daily Data'!$D:$D,DashBoard!$C16)</f>
        <v>0</v>
      </c>
      <c r="AC16" s="29">
        <f>SUMIFS('Daily Data'!$F:$F,'Daily Data'!$A:$A,DashBoard!AC$8,'Daily Data'!$B:$B,DashBoard!$D$2,'Daily Data'!$C:$C,DashBoard!$D$3,'Daily Data'!$D:$D,DashBoard!$C16)</f>
        <v>0</v>
      </c>
      <c r="AD16" s="29">
        <f>SUMIFS('Daily Data'!$F:$F,'Daily Data'!$A:$A,DashBoard!AD$8,'Daily Data'!$B:$B,DashBoard!$D$2,'Daily Data'!$C:$C,DashBoard!$D$3,'Daily Data'!$D:$D,DashBoard!$C16)</f>
        <v>0</v>
      </c>
      <c r="AE16" s="29">
        <f>SUMIFS('Daily Data'!$F:$F,'Daily Data'!$A:$A,DashBoard!AE$8,'Daily Data'!$B:$B,DashBoard!$D$2,'Daily Data'!$C:$C,DashBoard!$D$3,'Daily Data'!$D:$D,DashBoard!$C16)</f>
        <v>0</v>
      </c>
      <c r="AF16" s="29">
        <f>SUMIFS('Daily Data'!$F:$F,'Daily Data'!$A:$A,DashBoard!AF$8,'Daily Data'!$B:$B,DashBoard!$D$2,'Daily Data'!$C:$C,DashBoard!$D$3,'Daily Data'!$D:$D,DashBoard!$C16)</f>
        <v>0</v>
      </c>
      <c r="AG16" s="29">
        <f>SUMIFS('Daily Data'!$F:$F,'Daily Data'!$A:$A,DashBoard!AG$8,'Daily Data'!$B:$B,DashBoard!$D$2,'Daily Data'!$C:$C,DashBoard!$D$3,'Daily Data'!$D:$D,DashBoard!$C16)</f>
        <v>0</v>
      </c>
      <c r="AH16" s="29">
        <f>SUMIFS('Daily Data'!$F:$F,'Daily Data'!$A:$A,DashBoard!AH$8,'Daily Data'!$B:$B,DashBoard!$D$2,'Daily Data'!$C:$C,DashBoard!$D$3,'Daily Data'!$D:$D,DashBoard!$C16)</f>
        <v>0</v>
      </c>
      <c r="AI16" s="29">
        <f>SUMIFS('Daily Data'!$F:$F,'Daily Data'!$A:$A,DashBoard!AI$8,'Daily Data'!$B:$B,DashBoard!$D$2,'Daily Data'!$C:$C,DashBoard!$D$3,'Daily Data'!$D:$D,DashBoard!$C16)</f>
        <v>0</v>
      </c>
      <c r="AJ16" s="15">
        <f t="shared" si="2"/>
        <v>0</v>
      </c>
      <c r="AK16" s="15">
        <f t="shared" si="3"/>
        <v>0</v>
      </c>
    </row>
    <row r="17" spans="2:37">
      <c r="B17" s="79"/>
      <c r="C17" s="44" t="str">
        <v xml:space="preserve">Flavor Tea bag Flavored - Ginger </v>
      </c>
      <c r="D17" s="30">
        <f>_xlfn.IFNA(VLOOKUP(C17,'Monthly Data'!E:I,5,0),"0")</f>
        <v>220</v>
      </c>
      <c r="E17" s="29">
        <f>SUMIFS('Daily Data'!$F:$F,'Daily Data'!$A:$A,DashBoard!E$8,'Daily Data'!$B:$B,DashBoard!$D$2,'Daily Data'!$C:$C,DashBoard!$D$3,'Daily Data'!$D:$D,DashBoard!$C17)</f>
        <v>0</v>
      </c>
      <c r="F17" s="29">
        <f>SUMIFS('Daily Data'!$F:$F,'Daily Data'!$A:$A,DashBoard!F$8,'Daily Data'!$B:$B,DashBoard!$D$2,'Daily Data'!$C:$C,DashBoard!$D$3,'Daily Data'!$D:$D,DashBoard!$C17)</f>
        <v>0</v>
      </c>
      <c r="G17" s="29">
        <f>SUMIFS('Daily Data'!$F:$F,'Daily Data'!$A:$A,DashBoard!G$8,'Daily Data'!$B:$B,DashBoard!$D$2,'Daily Data'!$C:$C,DashBoard!$D$3,'Daily Data'!$D:$D,DashBoard!$C17)</f>
        <v>0</v>
      </c>
      <c r="H17" s="29">
        <f>SUMIFS('Daily Data'!$F:$F,'Daily Data'!$A:$A,DashBoard!H$8,'Daily Data'!$B:$B,DashBoard!$D$2,'Daily Data'!$C:$C,DashBoard!$D$3,'Daily Data'!$D:$D,DashBoard!$C17)</f>
        <v>0</v>
      </c>
      <c r="I17" s="29">
        <f>SUMIFS('Daily Data'!$F:$F,'Daily Data'!$A:$A,DashBoard!I$8,'Daily Data'!$B:$B,DashBoard!$D$2,'Daily Data'!$C:$C,DashBoard!$D$3,'Daily Data'!$D:$D,DashBoard!$C17)</f>
        <v>0</v>
      </c>
      <c r="J17" s="29">
        <f>SUMIFS('Daily Data'!$F:$F,'Daily Data'!$A:$A,DashBoard!J$8,'Daily Data'!$B:$B,DashBoard!$D$2,'Daily Data'!$C:$C,DashBoard!$D$3,'Daily Data'!$D:$D,DashBoard!$C17)</f>
        <v>0</v>
      </c>
      <c r="K17" s="29">
        <f>SUMIFS('Daily Data'!$F:$F,'Daily Data'!$A:$A,DashBoard!K$8,'Daily Data'!$B:$B,DashBoard!$D$2,'Daily Data'!$C:$C,DashBoard!$D$3,'Daily Data'!$D:$D,DashBoard!$C17)</f>
        <v>0</v>
      </c>
      <c r="L17" s="29">
        <f>SUMIFS('Daily Data'!$F:$F,'Daily Data'!$A:$A,DashBoard!L$8,'Daily Data'!$B:$B,DashBoard!$D$2,'Daily Data'!$C:$C,DashBoard!$D$3,'Daily Data'!$D:$D,DashBoard!$C17)</f>
        <v>0</v>
      </c>
      <c r="M17" s="29">
        <f>SUMIFS('Daily Data'!$F:$F,'Daily Data'!$A:$A,DashBoard!M$8,'Daily Data'!$B:$B,DashBoard!$D$2,'Daily Data'!$C:$C,DashBoard!$D$3,'Daily Data'!$D:$D,DashBoard!$C17)</f>
        <v>0</v>
      </c>
      <c r="N17" s="29">
        <f>SUMIFS('Daily Data'!$F:$F,'Daily Data'!$A:$A,DashBoard!N$8,'Daily Data'!$B:$B,DashBoard!$D$2,'Daily Data'!$C:$C,DashBoard!$D$3,'Daily Data'!$D:$D,DashBoard!$C17)</f>
        <v>0</v>
      </c>
      <c r="O17" s="29">
        <f>SUMIFS('Daily Data'!$F:$F,'Daily Data'!$A:$A,DashBoard!O$8,'Daily Data'!$B:$B,DashBoard!$D$2,'Daily Data'!$C:$C,DashBoard!$D$3,'Daily Data'!$D:$D,DashBoard!$C17)</f>
        <v>0</v>
      </c>
      <c r="P17" s="29">
        <f>SUMIFS('Daily Data'!$F:$F,'Daily Data'!$A:$A,DashBoard!P$8,'Daily Data'!$B:$B,DashBoard!$D$2,'Daily Data'!$C:$C,DashBoard!$D$3,'Daily Data'!$D:$D,DashBoard!$C17)</f>
        <v>0</v>
      </c>
      <c r="Q17" s="29">
        <f>SUMIFS('Daily Data'!$F:$F,'Daily Data'!$A:$A,DashBoard!Q$8,'Daily Data'!$B:$B,DashBoard!$D$2,'Daily Data'!$C:$C,DashBoard!$D$3,'Daily Data'!$D:$D,DashBoard!$C17)</f>
        <v>0</v>
      </c>
      <c r="R17" s="29">
        <f>SUMIFS('Daily Data'!$F:$F,'Daily Data'!$A:$A,DashBoard!R$8,'Daily Data'!$B:$B,DashBoard!$D$2,'Daily Data'!$C:$C,DashBoard!$D$3,'Daily Data'!$D:$D,DashBoard!$C17)</f>
        <v>0</v>
      </c>
      <c r="S17" s="29">
        <f>SUMIFS('Daily Data'!$F:$F,'Daily Data'!$A:$A,DashBoard!S$8,'Daily Data'!$B:$B,DashBoard!$D$2,'Daily Data'!$C:$C,DashBoard!$D$3,'Daily Data'!$D:$D,DashBoard!$C17)</f>
        <v>0</v>
      </c>
      <c r="T17" s="29">
        <f>SUMIFS('Daily Data'!$F:$F,'Daily Data'!$A:$A,DashBoard!T$8,'Daily Data'!$B:$B,DashBoard!$D$2,'Daily Data'!$C:$C,DashBoard!$D$3,'Daily Data'!$D:$D,DashBoard!$C17)</f>
        <v>0</v>
      </c>
      <c r="U17" s="29">
        <f>SUMIFS('Daily Data'!$F:$F,'Daily Data'!$A:$A,DashBoard!U$8,'Daily Data'!$B:$B,DashBoard!$D$2,'Daily Data'!$C:$C,DashBoard!$D$3,'Daily Data'!$D:$D,DashBoard!$C17)</f>
        <v>0</v>
      </c>
      <c r="V17" s="29">
        <f>SUMIFS('Daily Data'!$F:$F,'Daily Data'!$A:$A,DashBoard!V$8,'Daily Data'!$B:$B,DashBoard!$D$2,'Daily Data'!$C:$C,DashBoard!$D$3,'Daily Data'!$D:$D,DashBoard!$C17)</f>
        <v>0</v>
      </c>
      <c r="W17" s="29">
        <f>SUMIFS('Daily Data'!$F:$F,'Daily Data'!$A:$A,DashBoard!W$8,'Daily Data'!$B:$B,DashBoard!$D$2,'Daily Data'!$C:$C,DashBoard!$D$3,'Daily Data'!$D:$D,DashBoard!$C17)</f>
        <v>0</v>
      </c>
      <c r="X17" s="29">
        <f>SUMIFS('Daily Data'!$F:$F,'Daily Data'!$A:$A,DashBoard!X$8,'Daily Data'!$B:$B,DashBoard!$D$2,'Daily Data'!$C:$C,DashBoard!$D$3,'Daily Data'!$D:$D,DashBoard!$C17)</f>
        <v>0</v>
      </c>
      <c r="Y17" s="29">
        <f>SUMIFS('Daily Data'!$F:$F,'Daily Data'!$A:$A,DashBoard!Y$8,'Daily Data'!$B:$B,DashBoard!$D$2,'Daily Data'!$C:$C,DashBoard!$D$3,'Daily Data'!$D:$D,DashBoard!$C17)</f>
        <v>0</v>
      </c>
      <c r="Z17" s="29">
        <f>SUMIFS('Daily Data'!$F:$F,'Daily Data'!$A:$A,DashBoard!Z$8,'Daily Data'!$B:$B,DashBoard!$D$2,'Daily Data'!$C:$C,DashBoard!$D$3,'Daily Data'!$D:$D,DashBoard!$C17)</f>
        <v>0</v>
      </c>
      <c r="AA17" s="29">
        <f>SUMIFS('Daily Data'!$F:$F,'Daily Data'!$A:$A,DashBoard!AA$8,'Daily Data'!$B:$B,DashBoard!$D$2,'Daily Data'!$C:$C,DashBoard!$D$3,'Daily Data'!$D:$D,DashBoard!$C17)</f>
        <v>0</v>
      </c>
      <c r="AB17" s="31">
        <f>SUMIFS('Daily Data'!$F:$F,'Daily Data'!$A:$A,DashBoard!AB$8,'Daily Data'!$B:$B,DashBoard!$D$2,'Daily Data'!$C:$C,DashBoard!$D$3,'Daily Data'!$D:$D,DashBoard!$C17)</f>
        <v>0</v>
      </c>
      <c r="AC17" s="29">
        <f>SUMIFS('Daily Data'!$F:$F,'Daily Data'!$A:$A,DashBoard!AC$8,'Daily Data'!$B:$B,DashBoard!$D$2,'Daily Data'!$C:$C,DashBoard!$D$3,'Daily Data'!$D:$D,DashBoard!$C17)</f>
        <v>0</v>
      </c>
      <c r="AD17" s="29">
        <f>SUMIFS('Daily Data'!$F:$F,'Daily Data'!$A:$A,DashBoard!AD$8,'Daily Data'!$B:$B,DashBoard!$D$2,'Daily Data'!$C:$C,DashBoard!$D$3,'Daily Data'!$D:$D,DashBoard!$C17)</f>
        <v>0</v>
      </c>
      <c r="AE17" s="29">
        <f>SUMIFS('Daily Data'!$F:$F,'Daily Data'!$A:$A,DashBoard!AE$8,'Daily Data'!$B:$B,DashBoard!$D$2,'Daily Data'!$C:$C,DashBoard!$D$3,'Daily Data'!$D:$D,DashBoard!$C17)</f>
        <v>0</v>
      </c>
      <c r="AF17" s="29">
        <f>SUMIFS('Daily Data'!$F:$F,'Daily Data'!$A:$A,DashBoard!AF$8,'Daily Data'!$B:$B,DashBoard!$D$2,'Daily Data'!$C:$C,DashBoard!$D$3,'Daily Data'!$D:$D,DashBoard!$C17)</f>
        <v>0</v>
      </c>
      <c r="AG17" s="29">
        <f>SUMIFS('Daily Data'!$F:$F,'Daily Data'!$A:$A,DashBoard!AG$8,'Daily Data'!$B:$B,DashBoard!$D$2,'Daily Data'!$C:$C,DashBoard!$D$3,'Daily Data'!$D:$D,DashBoard!$C17)</f>
        <v>0</v>
      </c>
      <c r="AH17" s="29">
        <f>SUMIFS('Daily Data'!$F:$F,'Daily Data'!$A:$A,DashBoard!AH$8,'Daily Data'!$B:$B,DashBoard!$D$2,'Daily Data'!$C:$C,DashBoard!$D$3,'Daily Data'!$D:$D,DashBoard!$C17)</f>
        <v>0</v>
      </c>
      <c r="AI17" s="29">
        <f>SUMIFS('Daily Data'!$F:$F,'Daily Data'!$A:$A,DashBoard!AI$8,'Daily Data'!$B:$B,DashBoard!$D$2,'Daily Data'!$C:$C,DashBoard!$D$3,'Daily Data'!$D:$D,DashBoard!$C17)</f>
        <v>0</v>
      </c>
      <c r="AJ17" s="15">
        <f t="shared" si="2"/>
        <v>0</v>
      </c>
      <c r="AK17" s="15">
        <f t="shared" si="3"/>
        <v>0</v>
      </c>
    </row>
    <row r="18" spans="2:37">
      <c r="B18" s="79"/>
      <c r="C18" s="44" t="str">
        <v>Flavor Tea bag Flavored - Masal</v>
      </c>
      <c r="D18" s="30">
        <f>_xlfn.IFNA(VLOOKUP(C18,'Monthly Data'!E:I,5,0),"0")</f>
        <v>220</v>
      </c>
      <c r="E18" s="29">
        <f>SUMIFS('Daily Data'!$F:$F,'Daily Data'!$A:$A,DashBoard!E$8,'Daily Data'!$B:$B,DashBoard!$D$2,'Daily Data'!$C:$C,DashBoard!$D$3,'Daily Data'!$D:$D,DashBoard!$C18)</f>
        <v>0</v>
      </c>
      <c r="F18" s="29">
        <f>SUMIFS('Daily Data'!$F:$F,'Daily Data'!$A:$A,DashBoard!F$8,'Daily Data'!$B:$B,DashBoard!$D$2,'Daily Data'!$C:$C,DashBoard!$D$3,'Daily Data'!$D:$D,DashBoard!$C18)</f>
        <v>0</v>
      </c>
      <c r="G18" s="29">
        <f>SUMIFS('Daily Data'!$F:$F,'Daily Data'!$A:$A,DashBoard!G$8,'Daily Data'!$B:$B,DashBoard!$D$2,'Daily Data'!$C:$C,DashBoard!$D$3,'Daily Data'!$D:$D,DashBoard!$C18)</f>
        <v>0</v>
      </c>
      <c r="H18" s="29">
        <f>SUMIFS('Daily Data'!$F:$F,'Daily Data'!$A:$A,DashBoard!H$8,'Daily Data'!$B:$B,DashBoard!$D$2,'Daily Data'!$C:$C,DashBoard!$D$3,'Daily Data'!$D:$D,DashBoard!$C18)</f>
        <v>0</v>
      </c>
      <c r="I18" s="29">
        <f>SUMIFS('Daily Data'!$F:$F,'Daily Data'!$A:$A,DashBoard!I$8,'Daily Data'!$B:$B,DashBoard!$D$2,'Daily Data'!$C:$C,DashBoard!$D$3,'Daily Data'!$D:$D,DashBoard!$C18)</f>
        <v>0</v>
      </c>
      <c r="J18" s="29">
        <f>SUMIFS('Daily Data'!$F:$F,'Daily Data'!$A:$A,DashBoard!J$8,'Daily Data'!$B:$B,DashBoard!$D$2,'Daily Data'!$C:$C,DashBoard!$D$3,'Daily Data'!$D:$D,DashBoard!$C18)</f>
        <v>0</v>
      </c>
      <c r="K18" s="29">
        <f>SUMIFS('Daily Data'!$F:$F,'Daily Data'!$A:$A,DashBoard!K$8,'Daily Data'!$B:$B,DashBoard!$D$2,'Daily Data'!$C:$C,DashBoard!$D$3,'Daily Data'!$D:$D,DashBoard!$C18)</f>
        <v>0</v>
      </c>
      <c r="L18" s="29">
        <f>SUMIFS('Daily Data'!$F:$F,'Daily Data'!$A:$A,DashBoard!L$8,'Daily Data'!$B:$B,DashBoard!$D$2,'Daily Data'!$C:$C,DashBoard!$D$3,'Daily Data'!$D:$D,DashBoard!$C18)</f>
        <v>0</v>
      </c>
      <c r="M18" s="29">
        <f>SUMIFS('Daily Data'!$F:$F,'Daily Data'!$A:$A,DashBoard!M$8,'Daily Data'!$B:$B,DashBoard!$D$2,'Daily Data'!$C:$C,DashBoard!$D$3,'Daily Data'!$D:$D,DashBoard!$C18)</f>
        <v>0</v>
      </c>
      <c r="N18" s="29">
        <f>SUMIFS('Daily Data'!$F:$F,'Daily Data'!$A:$A,DashBoard!N$8,'Daily Data'!$B:$B,DashBoard!$D$2,'Daily Data'!$C:$C,DashBoard!$D$3,'Daily Data'!$D:$D,DashBoard!$C18)</f>
        <v>0</v>
      </c>
      <c r="O18" s="29">
        <f>SUMIFS('Daily Data'!$F:$F,'Daily Data'!$A:$A,DashBoard!O$8,'Daily Data'!$B:$B,DashBoard!$D$2,'Daily Data'!$C:$C,DashBoard!$D$3,'Daily Data'!$D:$D,DashBoard!$C18)</f>
        <v>0</v>
      </c>
      <c r="P18" s="29">
        <f>SUMIFS('Daily Data'!$F:$F,'Daily Data'!$A:$A,DashBoard!P$8,'Daily Data'!$B:$B,DashBoard!$D$2,'Daily Data'!$C:$C,DashBoard!$D$3,'Daily Data'!$D:$D,DashBoard!$C18)</f>
        <v>0</v>
      </c>
      <c r="Q18" s="29">
        <f>SUMIFS('Daily Data'!$F:$F,'Daily Data'!$A:$A,DashBoard!Q$8,'Daily Data'!$B:$B,DashBoard!$D$2,'Daily Data'!$C:$C,DashBoard!$D$3,'Daily Data'!$D:$D,DashBoard!$C18)</f>
        <v>0</v>
      </c>
      <c r="R18" s="29">
        <f>SUMIFS('Daily Data'!$F:$F,'Daily Data'!$A:$A,DashBoard!R$8,'Daily Data'!$B:$B,DashBoard!$D$2,'Daily Data'!$C:$C,DashBoard!$D$3,'Daily Data'!$D:$D,DashBoard!$C18)</f>
        <v>0</v>
      </c>
      <c r="S18" s="29">
        <f>SUMIFS('Daily Data'!$F:$F,'Daily Data'!$A:$A,DashBoard!S$8,'Daily Data'!$B:$B,DashBoard!$D$2,'Daily Data'!$C:$C,DashBoard!$D$3,'Daily Data'!$D:$D,DashBoard!$C18)</f>
        <v>0</v>
      </c>
      <c r="T18" s="29">
        <f>SUMIFS('Daily Data'!$F:$F,'Daily Data'!$A:$A,DashBoard!T$8,'Daily Data'!$B:$B,DashBoard!$D$2,'Daily Data'!$C:$C,DashBoard!$D$3,'Daily Data'!$D:$D,DashBoard!$C18)</f>
        <v>0</v>
      </c>
      <c r="U18" s="29">
        <f>SUMIFS('Daily Data'!$F:$F,'Daily Data'!$A:$A,DashBoard!U$8,'Daily Data'!$B:$B,DashBoard!$D$2,'Daily Data'!$C:$C,DashBoard!$D$3,'Daily Data'!$D:$D,DashBoard!$C18)</f>
        <v>0</v>
      </c>
      <c r="V18" s="29">
        <f>SUMIFS('Daily Data'!$F:$F,'Daily Data'!$A:$A,DashBoard!V$8,'Daily Data'!$B:$B,DashBoard!$D$2,'Daily Data'!$C:$C,DashBoard!$D$3,'Daily Data'!$D:$D,DashBoard!$C18)</f>
        <v>0</v>
      </c>
      <c r="W18" s="29">
        <f>SUMIFS('Daily Data'!$F:$F,'Daily Data'!$A:$A,DashBoard!W$8,'Daily Data'!$B:$B,DashBoard!$D$2,'Daily Data'!$C:$C,DashBoard!$D$3,'Daily Data'!$D:$D,DashBoard!$C18)</f>
        <v>0</v>
      </c>
      <c r="X18" s="29">
        <f>SUMIFS('Daily Data'!$F:$F,'Daily Data'!$A:$A,DashBoard!X$8,'Daily Data'!$B:$B,DashBoard!$D$2,'Daily Data'!$C:$C,DashBoard!$D$3,'Daily Data'!$D:$D,DashBoard!$C18)</f>
        <v>0</v>
      </c>
      <c r="Y18" s="29">
        <f>SUMIFS('Daily Data'!$F:$F,'Daily Data'!$A:$A,DashBoard!Y$8,'Daily Data'!$B:$B,DashBoard!$D$2,'Daily Data'!$C:$C,DashBoard!$D$3,'Daily Data'!$D:$D,DashBoard!$C18)</f>
        <v>0</v>
      </c>
      <c r="Z18" s="29">
        <f>SUMIFS('Daily Data'!$F:$F,'Daily Data'!$A:$A,DashBoard!Z$8,'Daily Data'!$B:$B,DashBoard!$D$2,'Daily Data'!$C:$C,DashBoard!$D$3,'Daily Data'!$D:$D,DashBoard!$C18)</f>
        <v>0</v>
      </c>
      <c r="AA18" s="29">
        <f>SUMIFS('Daily Data'!$F:$F,'Daily Data'!$A:$A,DashBoard!AA$8,'Daily Data'!$B:$B,DashBoard!$D$2,'Daily Data'!$C:$C,DashBoard!$D$3,'Daily Data'!$D:$D,DashBoard!$C18)</f>
        <v>0</v>
      </c>
      <c r="AB18" s="31">
        <f>SUMIFS('Daily Data'!$F:$F,'Daily Data'!$A:$A,DashBoard!AB$8,'Daily Data'!$B:$B,DashBoard!$D$2,'Daily Data'!$C:$C,DashBoard!$D$3,'Daily Data'!$D:$D,DashBoard!$C18)</f>
        <v>0</v>
      </c>
      <c r="AC18" s="29">
        <f>SUMIFS('Daily Data'!$F:$F,'Daily Data'!$A:$A,DashBoard!AC$8,'Daily Data'!$B:$B,DashBoard!$D$2,'Daily Data'!$C:$C,DashBoard!$D$3,'Daily Data'!$D:$D,DashBoard!$C18)</f>
        <v>0</v>
      </c>
      <c r="AD18" s="29">
        <f>SUMIFS('Daily Data'!$F:$F,'Daily Data'!$A:$A,DashBoard!AD$8,'Daily Data'!$B:$B,DashBoard!$D$2,'Daily Data'!$C:$C,DashBoard!$D$3,'Daily Data'!$D:$D,DashBoard!$C18)</f>
        <v>0</v>
      </c>
      <c r="AE18" s="29">
        <f>SUMIFS('Daily Data'!$F:$F,'Daily Data'!$A:$A,DashBoard!AE$8,'Daily Data'!$B:$B,DashBoard!$D$2,'Daily Data'!$C:$C,DashBoard!$D$3,'Daily Data'!$D:$D,DashBoard!$C18)</f>
        <v>0</v>
      </c>
      <c r="AF18" s="29">
        <f>SUMIFS('Daily Data'!$F:$F,'Daily Data'!$A:$A,DashBoard!AF$8,'Daily Data'!$B:$B,DashBoard!$D$2,'Daily Data'!$C:$C,DashBoard!$D$3,'Daily Data'!$D:$D,DashBoard!$C18)</f>
        <v>0</v>
      </c>
      <c r="AG18" s="29">
        <f>SUMIFS('Daily Data'!$F:$F,'Daily Data'!$A:$A,DashBoard!AG$8,'Daily Data'!$B:$B,DashBoard!$D$2,'Daily Data'!$C:$C,DashBoard!$D$3,'Daily Data'!$D:$D,DashBoard!$C18)</f>
        <v>0</v>
      </c>
      <c r="AH18" s="29">
        <f>SUMIFS('Daily Data'!$F:$F,'Daily Data'!$A:$A,DashBoard!AH$8,'Daily Data'!$B:$B,DashBoard!$D$2,'Daily Data'!$C:$C,DashBoard!$D$3,'Daily Data'!$D:$D,DashBoard!$C18)</f>
        <v>0</v>
      </c>
      <c r="AI18" s="29">
        <f>SUMIFS('Daily Data'!$F:$F,'Daily Data'!$A:$A,DashBoard!AI$8,'Daily Data'!$B:$B,DashBoard!$D$2,'Daily Data'!$C:$C,DashBoard!$D$3,'Daily Data'!$D:$D,DashBoard!$C18)</f>
        <v>0</v>
      </c>
      <c r="AJ18" s="15">
        <f t="shared" si="2"/>
        <v>0</v>
      </c>
      <c r="AK18" s="15">
        <f t="shared" si="3"/>
        <v>0</v>
      </c>
    </row>
    <row r="19" spans="2:37">
      <c r="B19" s="79"/>
      <c r="C19" s="44" t="str">
        <v>Coffee  beans Value Blend</v>
      </c>
      <c r="D19" s="30">
        <f>_xlfn.IFNA(VLOOKUP(C19,'Monthly Data'!E:I,5,0),"0")</f>
        <v>720</v>
      </c>
      <c r="E19" s="29">
        <f>SUMIFS('Daily Data'!$F:$F,'Daily Data'!$A:$A,DashBoard!E$8,'Daily Data'!$B:$B,DashBoard!$D$2,'Daily Data'!$C:$C,DashBoard!$D$3,'Daily Data'!$D:$D,DashBoard!$C19)</f>
        <v>0</v>
      </c>
      <c r="F19" s="29">
        <f>SUMIFS('Daily Data'!$F:$F,'Daily Data'!$A:$A,DashBoard!F$8,'Daily Data'!$B:$B,DashBoard!$D$2,'Daily Data'!$C:$C,DashBoard!$D$3,'Daily Data'!$D:$D,DashBoard!$C19)</f>
        <v>0</v>
      </c>
      <c r="G19" s="29">
        <f>SUMIFS('Daily Data'!$F:$F,'Daily Data'!$A:$A,DashBoard!G$8,'Daily Data'!$B:$B,DashBoard!$D$2,'Daily Data'!$C:$C,DashBoard!$D$3,'Daily Data'!$D:$D,DashBoard!$C19)</f>
        <v>0</v>
      </c>
      <c r="H19" s="29">
        <f>SUMIFS('Daily Data'!$F:$F,'Daily Data'!$A:$A,DashBoard!H$8,'Daily Data'!$B:$B,DashBoard!$D$2,'Daily Data'!$C:$C,DashBoard!$D$3,'Daily Data'!$D:$D,DashBoard!$C19)</f>
        <v>0</v>
      </c>
      <c r="I19" s="29">
        <f>SUMIFS('Daily Data'!$F:$F,'Daily Data'!$A:$A,DashBoard!I$8,'Daily Data'!$B:$B,DashBoard!$D$2,'Daily Data'!$C:$C,DashBoard!$D$3,'Daily Data'!$D:$D,DashBoard!$C19)</f>
        <v>0</v>
      </c>
      <c r="J19" s="29">
        <f>SUMIFS('Daily Data'!$F:$F,'Daily Data'!$A:$A,DashBoard!J$8,'Daily Data'!$B:$B,DashBoard!$D$2,'Daily Data'!$C:$C,DashBoard!$D$3,'Daily Data'!$D:$D,DashBoard!$C19)</f>
        <v>0</v>
      </c>
      <c r="K19" s="29">
        <f>SUMIFS('Daily Data'!$F:$F,'Daily Data'!$A:$A,DashBoard!K$8,'Daily Data'!$B:$B,DashBoard!$D$2,'Daily Data'!$C:$C,DashBoard!$D$3,'Daily Data'!$D:$D,DashBoard!$C19)</f>
        <v>0</v>
      </c>
      <c r="L19" s="29">
        <f>SUMIFS('Daily Data'!$F:$F,'Daily Data'!$A:$A,DashBoard!L$8,'Daily Data'!$B:$B,DashBoard!$D$2,'Daily Data'!$C:$C,DashBoard!$D$3,'Daily Data'!$D:$D,DashBoard!$C19)</f>
        <v>0</v>
      </c>
      <c r="M19" s="29">
        <f>SUMIFS('Daily Data'!$F:$F,'Daily Data'!$A:$A,DashBoard!M$8,'Daily Data'!$B:$B,DashBoard!$D$2,'Daily Data'!$C:$C,DashBoard!$D$3,'Daily Data'!$D:$D,DashBoard!$C19)</f>
        <v>0</v>
      </c>
      <c r="N19" s="29">
        <f>SUMIFS('Daily Data'!$F:$F,'Daily Data'!$A:$A,DashBoard!N$8,'Daily Data'!$B:$B,DashBoard!$D$2,'Daily Data'!$C:$C,DashBoard!$D$3,'Daily Data'!$D:$D,DashBoard!$C19)</f>
        <v>0</v>
      </c>
      <c r="O19" s="29">
        <f>SUMIFS('Daily Data'!$F:$F,'Daily Data'!$A:$A,DashBoard!O$8,'Daily Data'!$B:$B,DashBoard!$D$2,'Daily Data'!$C:$C,DashBoard!$D$3,'Daily Data'!$D:$D,DashBoard!$C19)</f>
        <v>0</v>
      </c>
      <c r="P19" s="29">
        <f>SUMIFS('Daily Data'!$F:$F,'Daily Data'!$A:$A,DashBoard!P$8,'Daily Data'!$B:$B,DashBoard!$D$2,'Daily Data'!$C:$C,DashBoard!$D$3,'Daily Data'!$D:$D,DashBoard!$C19)</f>
        <v>0</v>
      </c>
      <c r="Q19" s="29">
        <f>SUMIFS('Daily Data'!$F:$F,'Daily Data'!$A:$A,DashBoard!Q$8,'Daily Data'!$B:$B,DashBoard!$D$2,'Daily Data'!$C:$C,DashBoard!$D$3,'Daily Data'!$D:$D,DashBoard!$C19)</f>
        <v>0</v>
      </c>
      <c r="R19" s="29">
        <f>SUMIFS('Daily Data'!$F:$F,'Daily Data'!$A:$A,DashBoard!R$8,'Daily Data'!$B:$B,DashBoard!$D$2,'Daily Data'!$C:$C,DashBoard!$D$3,'Daily Data'!$D:$D,DashBoard!$C19)</f>
        <v>0</v>
      </c>
      <c r="S19" s="29">
        <f>SUMIFS('Daily Data'!$F:$F,'Daily Data'!$A:$A,DashBoard!S$8,'Daily Data'!$B:$B,DashBoard!$D$2,'Daily Data'!$C:$C,DashBoard!$D$3,'Daily Data'!$D:$D,DashBoard!$C19)</f>
        <v>0</v>
      </c>
      <c r="T19" s="29">
        <f>SUMIFS('Daily Data'!$F:$F,'Daily Data'!$A:$A,DashBoard!T$8,'Daily Data'!$B:$B,DashBoard!$D$2,'Daily Data'!$C:$C,DashBoard!$D$3,'Daily Data'!$D:$D,DashBoard!$C19)</f>
        <v>0</v>
      </c>
      <c r="U19" s="29">
        <f>SUMIFS('Daily Data'!$F:$F,'Daily Data'!$A:$A,DashBoard!U$8,'Daily Data'!$B:$B,DashBoard!$D$2,'Daily Data'!$C:$C,DashBoard!$D$3,'Daily Data'!$D:$D,DashBoard!$C19)</f>
        <v>0</v>
      </c>
      <c r="V19" s="29">
        <f>SUMIFS('Daily Data'!$F:$F,'Daily Data'!$A:$A,DashBoard!V$8,'Daily Data'!$B:$B,DashBoard!$D$2,'Daily Data'!$C:$C,DashBoard!$D$3,'Daily Data'!$D:$D,DashBoard!$C19)</f>
        <v>0</v>
      </c>
      <c r="W19" s="29">
        <f>SUMIFS('Daily Data'!$F:$F,'Daily Data'!$A:$A,DashBoard!W$8,'Daily Data'!$B:$B,DashBoard!$D$2,'Daily Data'!$C:$C,DashBoard!$D$3,'Daily Data'!$D:$D,DashBoard!$C19)</f>
        <v>0</v>
      </c>
      <c r="X19" s="29">
        <f>SUMIFS('Daily Data'!$F:$F,'Daily Data'!$A:$A,DashBoard!X$8,'Daily Data'!$B:$B,DashBoard!$D$2,'Daily Data'!$C:$C,DashBoard!$D$3,'Daily Data'!$D:$D,DashBoard!$C19)</f>
        <v>0</v>
      </c>
      <c r="Y19" s="29">
        <f>SUMIFS('Daily Data'!$F:$F,'Daily Data'!$A:$A,DashBoard!Y$8,'Daily Data'!$B:$B,DashBoard!$D$2,'Daily Data'!$C:$C,DashBoard!$D$3,'Daily Data'!$D:$D,DashBoard!$C19)</f>
        <v>0</v>
      </c>
      <c r="Z19" s="29">
        <f>SUMIFS('Daily Data'!$F:$F,'Daily Data'!$A:$A,DashBoard!Z$8,'Daily Data'!$B:$B,DashBoard!$D$2,'Daily Data'!$C:$C,DashBoard!$D$3,'Daily Data'!$D:$D,DashBoard!$C19)</f>
        <v>0</v>
      </c>
      <c r="AA19" s="29">
        <f>SUMIFS('Daily Data'!$F:$F,'Daily Data'!$A:$A,DashBoard!AA$8,'Daily Data'!$B:$B,DashBoard!$D$2,'Daily Data'!$C:$C,DashBoard!$D$3,'Daily Data'!$D:$D,DashBoard!$C19)</f>
        <v>0</v>
      </c>
      <c r="AB19" s="31">
        <f>SUMIFS('Daily Data'!$F:$F,'Daily Data'!$A:$A,DashBoard!AB$8,'Daily Data'!$B:$B,DashBoard!$D$2,'Daily Data'!$C:$C,DashBoard!$D$3,'Daily Data'!$D:$D,DashBoard!$C19)</f>
        <v>0</v>
      </c>
      <c r="AC19" s="29">
        <f>SUMIFS('Daily Data'!$F:$F,'Daily Data'!$A:$A,DashBoard!AC$8,'Daily Data'!$B:$B,DashBoard!$D$2,'Daily Data'!$C:$C,DashBoard!$D$3,'Daily Data'!$D:$D,DashBoard!$C19)</f>
        <v>0</v>
      </c>
      <c r="AD19" s="29">
        <f>SUMIFS('Daily Data'!$F:$F,'Daily Data'!$A:$A,DashBoard!AD$8,'Daily Data'!$B:$B,DashBoard!$D$2,'Daily Data'!$C:$C,DashBoard!$D$3,'Daily Data'!$D:$D,DashBoard!$C19)</f>
        <v>0</v>
      </c>
      <c r="AE19" s="29">
        <f>SUMIFS('Daily Data'!$F:$F,'Daily Data'!$A:$A,DashBoard!AE$8,'Daily Data'!$B:$B,DashBoard!$D$2,'Daily Data'!$C:$C,DashBoard!$D$3,'Daily Data'!$D:$D,DashBoard!$C19)</f>
        <v>0</v>
      </c>
      <c r="AF19" s="29">
        <f>SUMIFS('Daily Data'!$F:$F,'Daily Data'!$A:$A,DashBoard!AF$8,'Daily Data'!$B:$B,DashBoard!$D$2,'Daily Data'!$C:$C,DashBoard!$D$3,'Daily Data'!$D:$D,DashBoard!$C19)</f>
        <v>0</v>
      </c>
      <c r="AG19" s="29">
        <f>SUMIFS('Daily Data'!$F:$F,'Daily Data'!$A:$A,DashBoard!AG$8,'Daily Data'!$B:$B,DashBoard!$D$2,'Daily Data'!$C:$C,DashBoard!$D$3,'Daily Data'!$D:$D,DashBoard!$C19)</f>
        <v>0</v>
      </c>
      <c r="AH19" s="29">
        <f>SUMIFS('Daily Data'!$F:$F,'Daily Data'!$A:$A,DashBoard!AH$8,'Daily Data'!$B:$B,DashBoard!$D$2,'Daily Data'!$C:$C,DashBoard!$D$3,'Daily Data'!$D:$D,DashBoard!$C19)</f>
        <v>0</v>
      </c>
      <c r="AI19" s="29">
        <f>SUMIFS('Daily Data'!$F:$F,'Daily Data'!$A:$A,DashBoard!AI$8,'Daily Data'!$B:$B,DashBoard!$D$2,'Daily Data'!$C:$C,DashBoard!$D$3,'Daily Data'!$D:$D,DashBoard!$C19)</f>
        <v>0</v>
      </c>
      <c r="AJ19" s="15">
        <f t="shared" si="2"/>
        <v>0</v>
      </c>
      <c r="AK19" s="15">
        <f t="shared" si="3"/>
        <v>0</v>
      </c>
    </row>
    <row r="20" spans="2:37">
      <c r="B20" s="79"/>
      <c r="C20" s="44" t="str">
        <v>Flavor Tea bag  Lemon - Green</v>
      </c>
      <c r="D20" s="30">
        <f>_xlfn.IFNA(VLOOKUP(C20,'Monthly Data'!E:I,5,0),"0")</f>
        <v>4.5</v>
      </c>
      <c r="E20" s="29">
        <f>SUMIFS('Daily Data'!$F:$F,'Daily Data'!$A:$A,DashBoard!E$8,'Daily Data'!$B:$B,DashBoard!$D$2,'Daily Data'!$C:$C,DashBoard!$D$3,'Daily Data'!$D:$D,DashBoard!$C20)</f>
        <v>0</v>
      </c>
      <c r="F20" s="29">
        <f>SUMIFS('Daily Data'!$F:$F,'Daily Data'!$A:$A,DashBoard!F$8,'Daily Data'!$B:$B,DashBoard!$D$2,'Daily Data'!$C:$C,DashBoard!$D$3,'Daily Data'!$D:$D,DashBoard!$C20)</f>
        <v>0</v>
      </c>
      <c r="G20" s="29">
        <f>SUMIFS('Daily Data'!$F:$F,'Daily Data'!$A:$A,DashBoard!G$8,'Daily Data'!$B:$B,DashBoard!$D$2,'Daily Data'!$C:$C,DashBoard!$D$3,'Daily Data'!$D:$D,DashBoard!$C20)</f>
        <v>0</v>
      </c>
      <c r="H20" s="29">
        <f>SUMIFS('Daily Data'!$F:$F,'Daily Data'!$A:$A,DashBoard!H$8,'Daily Data'!$B:$B,DashBoard!$D$2,'Daily Data'!$C:$C,DashBoard!$D$3,'Daily Data'!$D:$D,DashBoard!$C20)</f>
        <v>0</v>
      </c>
      <c r="I20" s="29">
        <f>SUMIFS('Daily Data'!$F:$F,'Daily Data'!$A:$A,DashBoard!I$8,'Daily Data'!$B:$B,DashBoard!$D$2,'Daily Data'!$C:$C,DashBoard!$D$3,'Daily Data'!$D:$D,DashBoard!$C20)</f>
        <v>0</v>
      </c>
      <c r="J20" s="29">
        <f>SUMIFS('Daily Data'!$F:$F,'Daily Data'!$A:$A,DashBoard!J$8,'Daily Data'!$B:$B,DashBoard!$D$2,'Daily Data'!$C:$C,DashBoard!$D$3,'Daily Data'!$D:$D,DashBoard!$C20)</f>
        <v>0</v>
      </c>
      <c r="K20" s="29">
        <f>SUMIFS('Daily Data'!$F:$F,'Daily Data'!$A:$A,DashBoard!K$8,'Daily Data'!$B:$B,DashBoard!$D$2,'Daily Data'!$C:$C,DashBoard!$D$3,'Daily Data'!$D:$D,DashBoard!$C20)</f>
        <v>0</v>
      </c>
      <c r="L20" s="29">
        <f>SUMIFS('Daily Data'!$F:$F,'Daily Data'!$A:$A,DashBoard!L$8,'Daily Data'!$B:$B,DashBoard!$D$2,'Daily Data'!$C:$C,DashBoard!$D$3,'Daily Data'!$D:$D,DashBoard!$C20)</f>
        <v>0</v>
      </c>
      <c r="M20" s="29">
        <f>SUMIFS('Daily Data'!$F:$F,'Daily Data'!$A:$A,DashBoard!M$8,'Daily Data'!$B:$B,DashBoard!$D$2,'Daily Data'!$C:$C,DashBoard!$D$3,'Daily Data'!$D:$D,DashBoard!$C20)</f>
        <v>0</v>
      </c>
      <c r="N20" s="29">
        <f>SUMIFS('Daily Data'!$F:$F,'Daily Data'!$A:$A,DashBoard!N$8,'Daily Data'!$B:$B,DashBoard!$D$2,'Daily Data'!$C:$C,DashBoard!$D$3,'Daily Data'!$D:$D,DashBoard!$C20)</f>
        <v>0</v>
      </c>
      <c r="O20" s="29">
        <f>SUMIFS('Daily Data'!$F:$F,'Daily Data'!$A:$A,DashBoard!O$8,'Daily Data'!$B:$B,DashBoard!$D$2,'Daily Data'!$C:$C,DashBoard!$D$3,'Daily Data'!$D:$D,DashBoard!$C20)</f>
        <v>0</v>
      </c>
      <c r="P20" s="29">
        <f>SUMIFS('Daily Data'!$F:$F,'Daily Data'!$A:$A,DashBoard!P$8,'Daily Data'!$B:$B,DashBoard!$D$2,'Daily Data'!$C:$C,DashBoard!$D$3,'Daily Data'!$D:$D,DashBoard!$C20)</f>
        <v>0</v>
      </c>
      <c r="Q20" s="29">
        <f>SUMIFS('Daily Data'!$F:$F,'Daily Data'!$A:$A,DashBoard!Q$8,'Daily Data'!$B:$B,DashBoard!$D$2,'Daily Data'!$C:$C,DashBoard!$D$3,'Daily Data'!$D:$D,DashBoard!$C20)</f>
        <v>0</v>
      </c>
      <c r="R20" s="29">
        <f>SUMIFS('Daily Data'!$F:$F,'Daily Data'!$A:$A,DashBoard!R$8,'Daily Data'!$B:$B,DashBoard!$D$2,'Daily Data'!$C:$C,DashBoard!$D$3,'Daily Data'!$D:$D,DashBoard!$C20)</f>
        <v>0</v>
      </c>
      <c r="S20" s="29">
        <f>SUMIFS('Daily Data'!$F:$F,'Daily Data'!$A:$A,DashBoard!S$8,'Daily Data'!$B:$B,DashBoard!$D$2,'Daily Data'!$C:$C,DashBoard!$D$3,'Daily Data'!$D:$D,DashBoard!$C20)</f>
        <v>0</v>
      </c>
      <c r="T20" s="29">
        <f>SUMIFS('Daily Data'!$F:$F,'Daily Data'!$A:$A,DashBoard!T$8,'Daily Data'!$B:$B,DashBoard!$D$2,'Daily Data'!$C:$C,DashBoard!$D$3,'Daily Data'!$D:$D,DashBoard!$C20)</f>
        <v>0</v>
      </c>
      <c r="U20" s="29">
        <f>SUMIFS('Daily Data'!$F:$F,'Daily Data'!$A:$A,DashBoard!U$8,'Daily Data'!$B:$B,DashBoard!$D$2,'Daily Data'!$C:$C,DashBoard!$D$3,'Daily Data'!$D:$D,DashBoard!$C20)</f>
        <v>0</v>
      </c>
      <c r="V20" s="29">
        <f>SUMIFS('Daily Data'!$F:$F,'Daily Data'!$A:$A,DashBoard!V$8,'Daily Data'!$B:$B,DashBoard!$D$2,'Daily Data'!$C:$C,DashBoard!$D$3,'Daily Data'!$D:$D,DashBoard!$C20)</f>
        <v>0</v>
      </c>
      <c r="W20" s="29">
        <f>SUMIFS('Daily Data'!$F:$F,'Daily Data'!$A:$A,DashBoard!W$8,'Daily Data'!$B:$B,DashBoard!$D$2,'Daily Data'!$C:$C,DashBoard!$D$3,'Daily Data'!$D:$D,DashBoard!$C20)</f>
        <v>0</v>
      </c>
      <c r="X20" s="29">
        <f>SUMIFS('Daily Data'!$F:$F,'Daily Data'!$A:$A,DashBoard!X$8,'Daily Data'!$B:$B,DashBoard!$D$2,'Daily Data'!$C:$C,DashBoard!$D$3,'Daily Data'!$D:$D,DashBoard!$C20)</f>
        <v>0</v>
      </c>
      <c r="Y20" s="29">
        <f>SUMIFS('Daily Data'!$F:$F,'Daily Data'!$A:$A,DashBoard!Y$8,'Daily Data'!$B:$B,DashBoard!$D$2,'Daily Data'!$C:$C,DashBoard!$D$3,'Daily Data'!$D:$D,DashBoard!$C20)</f>
        <v>0</v>
      </c>
      <c r="Z20" s="29">
        <f>SUMIFS('Daily Data'!$F:$F,'Daily Data'!$A:$A,DashBoard!Z$8,'Daily Data'!$B:$B,DashBoard!$D$2,'Daily Data'!$C:$C,DashBoard!$D$3,'Daily Data'!$D:$D,DashBoard!$C20)</f>
        <v>0</v>
      </c>
      <c r="AA20" s="29">
        <f>SUMIFS('Daily Data'!$F:$F,'Daily Data'!$A:$A,DashBoard!AA$8,'Daily Data'!$B:$B,DashBoard!$D$2,'Daily Data'!$C:$C,DashBoard!$D$3,'Daily Data'!$D:$D,DashBoard!$C20)</f>
        <v>0</v>
      </c>
      <c r="AB20" s="31">
        <f>SUMIFS('Daily Data'!$F:$F,'Daily Data'!$A:$A,DashBoard!AB$8,'Daily Data'!$B:$B,DashBoard!$D$2,'Daily Data'!$C:$C,DashBoard!$D$3,'Daily Data'!$D:$D,DashBoard!$C20)</f>
        <v>0</v>
      </c>
      <c r="AC20" s="29">
        <f>SUMIFS('Daily Data'!$F:$F,'Daily Data'!$A:$A,DashBoard!AC$8,'Daily Data'!$B:$B,DashBoard!$D$2,'Daily Data'!$C:$C,DashBoard!$D$3,'Daily Data'!$D:$D,DashBoard!$C20)</f>
        <v>0</v>
      </c>
      <c r="AD20" s="29">
        <f>SUMIFS('Daily Data'!$F:$F,'Daily Data'!$A:$A,DashBoard!AD$8,'Daily Data'!$B:$B,DashBoard!$D$2,'Daily Data'!$C:$C,DashBoard!$D$3,'Daily Data'!$D:$D,DashBoard!$C20)</f>
        <v>0</v>
      </c>
      <c r="AE20" s="29">
        <f>SUMIFS('Daily Data'!$F:$F,'Daily Data'!$A:$A,DashBoard!AE$8,'Daily Data'!$B:$B,DashBoard!$D$2,'Daily Data'!$C:$C,DashBoard!$D$3,'Daily Data'!$D:$D,DashBoard!$C20)</f>
        <v>0</v>
      </c>
      <c r="AF20" s="29">
        <f>SUMIFS('Daily Data'!$F:$F,'Daily Data'!$A:$A,DashBoard!AF$8,'Daily Data'!$B:$B,DashBoard!$D$2,'Daily Data'!$C:$C,DashBoard!$D$3,'Daily Data'!$D:$D,DashBoard!$C20)</f>
        <v>0</v>
      </c>
      <c r="AG20" s="29">
        <f>SUMIFS('Daily Data'!$F:$F,'Daily Data'!$A:$A,DashBoard!AG$8,'Daily Data'!$B:$B,DashBoard!$D$2,'Daily Data'!$C:$C,DashBoard!$D$3,'Daily Data'!$D:$D,DashBoard!$C20)</f>
        <v>0</v>
      </c>
      <c r="AH20" s="29">
        <f>SUMIFS('Daily Data'!$F:$F,'Daily Data'!$A:$A,DashBoard!AH$8,'Daily Data'!$B:$B,DashBoard!$D$2,'Daily Data'!$C:$C,DashBoard!$D$3,'Daily Data'!$D:$D,DashBoard!$C20)</f>
        <v>0</v>
      </c>
      <c r="AI20" s="29">
        <f>SUMIFS('Daily Data'!$F:$F,'Daily Data'!$A:$A,DashBoard!AI$8,'Daily Data'!$B:$B,DashBoard!$D$2,'Daily Data'!$C:$C,DashBoard!$D$3,'Daily Data'!$D:$D,DashBoard!$C20)</f>
        <v>0</v>
      </c>
      <c r="AJ20" s="15">
        <f t="shared" si="2"/>
        <v>0</v>
      </c>
      <c r="AK20" s="15">
        <f t="shared" si="3"/>
        <v>0</v>
      </c>
    </row>
    <row r="21" spans="2:37" ht="15.75" thickBot="1">
      <c r="B21" s="79"/>
      <c r="C21" s="45">
        <v>0</v>
      </c>
      <c r="D21" s="16" t="str">
        <f>_xlfn.IFNA(VLOOKUP(C21,'Monthly Data'!E:I,5,0),"0")</f>
        <v>0</v>
      </c>
      <c r="E21" s="32">
        <f>SUMIFS('Daily Data'!$F:$F,'Daily Data'!$A:$A,DashBoard!E$8,'Daily Data'!$B:$B,DashBoard!$D$2,'Daily Data'!$C:$C,DashBoard!$D$3,'Daily Data'!$D:$D,DashBoard!$C21)</f>
        <v>0</v>
      </c>
      <c r="F21" s="32">
        <f>SUMIFS('Daily Data'!$F:$F,'Daily Data'!$A:$A,DashBoard!F$8,'Daily Data'!$B:$B,DashBoard!$D$2,'Daily Data'!$C:$C,DashBoard!$D$3,'Daily Data'!$D:$D,DashBoard!$C21)</f>
        <v>0</v>
      </c>
      <c r="G21" s="32">
        <f>SUMIFS('Daily Data'!$F:$F,'Daily Data'!$A:$A,DashBoard!G$8,'Daily Data'!$B:$B,DashBoard!$D$2,'Daily Data'!$C:$C,DashBoard!$D$3,'Daily Data'!$D:$D,DashBoard!$C21)</f>
        <v>0</v>
      </c>
      <c r="H21" s="32">
        <f>SUMIFS('Daily Data'!$F:$F,'Daily Data'!$A:$A,DashBoard!H$8,'Daily Data'!$B:$B,DashBoard!$D$2,'Daily Data'!$C:$C,DashBoard!$D$3,'Daily Data'!$D:$D,DashBoard!$C21)</f>
        <v>0</v>
      </c>
      <c r="I21" s="32">
        <f>SUMIFS('Daily Data'!$F:$F,'Daily Data'!$A:$A,DashBoard!I$8,'Daily Data'!$B:$B,DashBoard!$D$2,'Daily Data'!$C:$C,DashBoard!$D$3,'Daily Data'!$D:$D,DashBoard!$C21)</f>
        <v>0</v>
      </c>
      <c r="J21" s="32">
        <f>SUMIFS('Daily Data'!$F:$F,'Daily Data'!$A:$A,DashBoard!J$8,'Daily Data'!$B:$B,DashBoard!$D$2,'Daily Data'!$C:$C,DashBoard!$D$3,'Daily Data'!$D:$D,DashBoard!$C21)</f>
        <v>0</v>
      </c>
      <c r="K21" s="32">
        <f>SUMIFS('Daily Data'!$F:$F,'Daily Data'!$A:$A,DashBoard!K$8,'Daily Data'!$B:$B,DashBoard!$D$2,'Daily Data'!$C:$C,DashBoard!$D$3,'Daily Data'!$D:$D,DashBoard!$C21)</f>
        <v>0</v>
      </c>
      <c r="L21" s="32">
        <f>SUMIFS('Daily Data'!$F:$F,'Daily Data'!$A:$A,DashBoard!L$8,'Daily Data'!$B:$B,DashBoard!$D$2,'Daily Data'!$C:$C,DashBoard!$D$3,'Daily Data'!$D:$D,DashBoard!$C21)</f>
        <v>0</v>
      </c>
      <c r="M21" s="32">
        <f>SUMIFS('Daily Data'!$F:$F,'Daily Data'!$A:$A,DashBoard!M$8,'Daily Data'!$B:$B,DashBoard!$D$2,'Daily Data'!$C:$C,DashBoard!$D$3,'Daily Data'!$D:$D,DashBoard!$C21)</f>
        <v>0</v>
      </c>
      <c r="N21" s="32">
        <f>SUMIFS('Daily Data'!$F:$F,'Daily Data'!$A:$A,DashBoard!N$8,'Daily Data'!$B:$B,DashBoard!$D$2,'Daily Data'!$C:$C,DashBoard!$D$3,'Daily Data'!$D:$D,DashBoard!$C21)</f>
        <v>0</v>
      </c>
      <c r="O21" s="32">
        <f>SUMIFS('Daily Data'!$F:$F,'Daily Data'!$A:$A,DashBoard!O$8,'Daily Data'!$B:$B,DashBoard!$D$2,'Daily Data'!$C:$C,DashBoard!$D$3,'Daily Data'!$D:$D,DashBoard!$C21)</f>
        <v>0</v>
      </c>
      <c r="P21" s="32">
        <f>SUMIFS('Daily Data'!$F:$F,'Daily Data'!$A:$A,DashBoard!P$8,'Daily Data'!$B:$B,DashBoard!$D$2,'Daily Data'!$C:$C,DashBoard!$D$3,'Daily Data'!$D:$D,DashBoard!$C21)</f>
        <v>0</v>
      </c>
      <c r="Q21" s="32">
        <f>SUMIFS('Daily Data'!$F:$F,'Daily Data'!$A:$A,DashBoard!Q$8,'Daily Data'!$B:$B,DashBoard!$D$2,'Daily Data'!$C:$C,DashBoard!$D$3,'Daily Data'!$D:$D,DashBoard!$C21)</f>
        <v>0</v>
      </c>
      <c r="R21" s="32">
        <f>SUMIFS('Daily Data'!$F:$F,'Daily Data'!$A:$A,DashBoard!R$8,'Daily Data'!$B:$B,DashBoard!$D$2,'Daily Data'!$C:$C,DashBoard!$D$3,'Daily Data'!$D:$D,DashBoard!$C21)</f>
        <v>0</v>
      </c>
      <c r="S21" s="32">
        <f>SUMIFS('Daily Data'!$F:$F,'Daily Data'!$A:$A,DashBoard!S$8,'Daily Data'!$B:$B,DashBoard!$D$2,'Daily Data'!$C:$C,DashBoard!$D$3,'Daily Data'!$D:$D,DashBoard!$C21)</f>
        <v>0</v>
      </c>
      <c r="T21" s="32">
        <f>SUMIFS('Daily Data'!$F:$F,'Daily Data'!$A:$A,DashBoard!T$8,'Daily Data'!$B:$B,DashBoard!$D$2,'Daily Data'!$C:$C,DashBoard!$D$3,'Daily Data'!$D:$D,DashBoard!$C21)</f>
        <v>0</v>
      </c>
      <c r="U21" s="32">
        <f>SUMIFS('Daily Data'!$F:$F,'Daily Data'!$A:$A,DashBoard!U$8,'Daily Data'!$B:$B,DashBoard!$D$2,'Daily Data'!$C:$C,DashBoard!$D$3,'Daily Data'!$D:$D,DashBoard!$C21)</f>
        <v>0</v>
      </c>
      <c r="V21" s="32">
        <f>SUMIFS('Daily Data'!$F:$F,'Daily Data'!$A:$A,DashBoard!V$8,'Daily Data'!$B:$B,DashBoard!$D$2,'Daily Data'!$C:$C,DashBoard!$D$3,'Daily Data'!$D:$D,DashBoard!$C21)</f>
        <v>0</v>
      </c>
      <c r="W21" s="32">
        <f>SUMIFS('Daily Data'!$F:$F,'Daily Data'!$A:$A,DashBoard!W$8,'Daily Data'!$B:$B,DashBoard!$D$2,'Daily Data'!$C:$C,DashBoard!$D$3,'Daily Data'!$D:$D,DashBoard!$C21)</f>
        <v>0</v>
      </c>
      <c r="X21" s="32">
        <f>SUMIFS('Daily Data'!$F:$F,'Daily Data'!$A:$A,DashBoard!X$8,'Daily Data'!$B:$B,DashBoard!$D$2,'Daily Data'!$C:$C,DashBoard!$D$3,'Daily Data'!$D:$D,DashBoard!$C21)</f>
        <v>0</v>
      </c>
      <c r="Y21" s="32">
        <f>SUMIFS('Daily Data'!$F:$F,'Daily Data'!$A:$A,DashBoard!Y$8,'Daily Data'!$B:$B,DashBoard!$D$2,'Daily Data'!$C:$C,DashBoard!$D$3,'Daily Data'!$D:$D,DashBoard!$C21)</f>
        <v>0</v>
      </c>
      <c r="Z21" s="32">
        <f>SUMIFS('Daily Data'!$F:$F,'Daily Data'!$A:$A,DashBoard!Z$8,'Daily Data'!$B:$B,DashBoard!$D$2,'Daily Data'!$C:$C,DashBoard!$D$3,'Daily Data'!$D:$D,DashBoard!$C21)</f>
        <v>0</v>
      </c>
      <c r="AA21" s="32">
        <f>SUMIFS('Daily Data'!$F:$F,'Daily Data'!$A:$A,DashBoard!AA$8,'Daily Data'!$B:$B,DashBoard!$D$2,'Daily Data'!$C:$C,DashBoard!$D$3,'Daily Data'!$D:$D,DashBoard!$C21)</f>
        <v>0</v>
      </c>
      <c r="AB21" s="11">
        <f>SUMIFS('Daily Data'!$F:$F,'Daily Data'!$A:$A,DashBoard!AB$8,'Daily Data'!$B:$B,DashBoard!$D$2,'Daily Data'!$C:$C,DashBoard!$D$3,'Daily Data'!$D:$D,DashBoard!$C21)</f>
        <v>0</v>
      </c>
      <c r="AC21" s="32">
        <f>SUMIFS('Daily Data'!$F:$F,'Daily Data'!$A:$A,DashBoard!AC$8,'Daily Data'!$B:$B,DashBoard!$D$2,'Daily Data'!$C:$C,DashBoard!$D$3,'Daily Data'!$D:$D,DashBoard!$C21)</f>
        <v>0</v>
      </c>
      <c r="AD21" s="32">
        <f>SUMIFS('Daily Data'!$F:$F,'Daily Data'!$A:$A,DashBoard!AD$8,'Daily Data'!$B:$B,DashBoard!$D$2,'Daily Data'!$C:$C,DashBoard!$D$3,'Daily Data'!$D:$D,DashBoard!$C21)</f>
        <v>0</v>
      </c>
      <c r="AE21" s="32">
        <f>SUMIFS('Daily Data'!$F:$F,'Daily Data'!$A:$A,DashBoard!AE$8,'Daily Data'!$B:$B,DashBoard!$D$2,'Daily Data'!$C:$C,DashBoard!$D$3,'Daily Data'!$D:$D,DashBoard!$C21)</f>
        <v>0</v>
      </c>
      <c r="AF21" s="32">
        <f>SUMIFS('Daily Data'!$F:$F,'Daily Data'!$A:$A,DashBoard!AF$8,'Daily Data'!$B:$B,DashBoard!$D$2,'Daily Data'!$C:$C,DashBoard!$D$3,'Daily Data'!$D:$D,DashBoard!$C21)</f>
        <v>0</v>
      </c>
      <c r="AG21" s="32">
        <f>SUMIFS('Daily Data'!$F:$F,'Daily Data'!$A:$A,DashBoard!AG$8,'Daily Data'!$B:$B,DashBoard!$D$2,'Daily Data'!$C:$C,DashBoard!$D$3,'Daily Data'!$D:$D,DashBoard!$C21)</f>
        <v>0</v>
      </c>
      <c r="AH21" s="32">
        <f>SUMIFS('Daily Data'!$F:$F,'Daily Data'!$A:$A,DashBoard!AH$8,'Daily Data'!$B:$B,DashBoard!$D$2,'Daily Data'!$C:$C,DashBoard!$D$3,'Daily Data'!$D:$D,DashBoard!$C21)</f>
        <v>0</v>
      </c>
      <c r="AI21" s="29">
        <f>SUMIFS('Daily Data'!$F:$F,'Daily Data'!$A:$A,DashBoard!AI$8,'Daily Data'!$B:$B,DashBoard!$D$2,'Daily Data'!$C:$C,DashBoard!$D$3,'Daily Data'!$D:$D,DashBoard!$C21)</f>
        <v>0</v>
      </c>
      <c r="AJ21" s="15">
        <f t="shared" si="2"/>
        <v>0</v>
      </c>
      <c r="AK21" s="15">
        <f t="shared" si="3"/>
        <v>0</v>
      </c>
    </row>
    <row r="22" spans="2:37" ht="15.75" thickBot="1">
      <c r="AI22" s="61" t="s">
        <v>33</v>
      </c>
      <c r="AJ22" s="62">
        <f>SUM(AJ9:AJ21)</f>
        <v>0</v>
      </c>
      <c r="AK22" s="60">
        <f>SUM(AK9:AK21)</f>
        <v>0</v>
      </c>
    </row>
    <row r="23" spans="2:37" ht="15.75" thickBot="1"/>
    <row r="24" spans="2:37" s="26" customFormat="1" ht="36" customHeight="1" thickBot="1">
      <c r="C24" s="46" t="s">
        <v>0</v>
      </c>
      <c r="D24" s="47" t="s">
        <v>2</v>
      </c>
      <c r="E24" s="47" t="s">
        <v>3</v>
      </c>
      <c r="F24" s="47" t="s">
        <v>4</v>
      </c>
      <c r="G24" s="48" t="s">
        <v>21</v>
      </c>
      <c r="H24" s="49" t="s">
        <v>36</v>
      </c>
      <c r="I24" s="50" t="s">
        <v>22</v>
      </c>
      <c r="J24" s="51" t="s">
        <v>35</v>
      </c>
      <c r="K24" s="48" t="s">
        <v>21</v>
      </c>
      <c r="L24" s="49" t="s">
        <v>36</v>
      </c>
      <c r="M24" s="50" t="s">
        <v>22</v>
      </c>
      <c r="N24" s="51" t="s">
        <v>35</v>
      </c>
      <c r="O24" s="48" t="s">
        <v>21</v>
      </c>
      <c r="P24" s="49" t="s">
        <v>36</v>
      </c>
      <c r="Q24" s="50" t="s">
        <v>22</v>
      </c>
      <c r="R24" s="51" t="s">
        <v>35</v>
      </c>
      <c r="S24" s="52" t="s">
        <v>26</v>
      </c>
      <c r="T24" s="53" t="s">
        <v>34</v>
      </c>
      <c r="U24" s="54" t="s">
        <v>22</v>
      </c>
      <c r="X24" s="27"/>
      <c r="Y24" s="27"/>
    </row>
    <row r="25" spans="2:37" ht="15" customHeight="1">
      <c r="C25" s="38"/>
      <c r="D25" s="18"/>
      <c r="E25" s="18"/>
      <c r="F25" s="18"/>
      <c r="G25" s="65">
        <f>DATE(YEAR($D$4),MONTH($D$4)-3,DAY($D$4))</f>
        <v>45413</v>
      </c>
      <c r="H25" s="66"/>
      <c r="I25" s="66"/>
      <c r="J25" s="67"/>
      <c r="K25" s="65">
        <f>DATE(YEAR($D$4),MONTH($D$4)-2,DAY($D$4))</f>
        <v>45444</v>
      </c>
      <c r="L25" s="66"/>
      <c r="M25" s="66"/>
      <c r="N25" s="67"/>
      <c r="O25" s="65">
        <f>DATE(YEAR($D$4),MONTH($D$4)-1,DAY($D$4))</f>
        <v>45474</v>
      </c>
      <c r="P25" s="66"/>
      <c r="Q25" s="66"/>
      <c r="R25" s="67"/>
      <c r="S25" s="68">
        <f>D4</f>
        <v>45505</v>
      </c>
      <c r="T25" s="69"/>
      <c r="U25" s="70"/>
      <c r="Y25" s="2"/>
    </row>
    <row r="26" spans="2:37">
      <c r="C26" s="43" t="str" cm="1">
        <f t="array" ref="C26:C38">_xlfn.UNIQUE('Monthly Data'!E2:E1048576)</f>
        <v>Coffee beans</v>
      </c>
      <c r="D26" s="6" t="str">
        <f>_xlfn.IFNA(VLOOKUP(C26,'Monthly Data'!E:G,3,0),"0")</f>
        <v>Kg</v>
      </c>
      <c r="E26" s="6" t="str">
        <f>_xlfn.IFNA(VLOOKUP(C26,'Monthly Data'!E:H,4,0),"0")</f>
        <v>Local</v>
      </c>
      <c r="F26" s="6">
        <f>_xlfn.IFNA(VLOOKUP(C26,'Monthly Data'!E:I,5,0),"0")</f>
        <v>700</v>
      </c>
      <c r="G26" s="6">
        <f>SUMIFS('Monthly Data'!$L:$L,'Monthly Data'!$B:$B,DashBoard!G$25,'Monthly Data'!$C:$C,DashBoard!$D$2,'Monthly Data'!$D:$D,DashBoard!$D$3,'Monthly Data'!$E:$E,DashBoard!$C26)</f>
        <v>0</v>
      </c>
      <c r="H26" s="6">
        <f>SUMIFS('Monthly Data'!$N:$N,'Monthly Data'!$B:$B,DashBoard!G$25,'Monthly Data'!$C:$C,DashBoard!$D$2,'Monthly Data'!$D:$D,DashBoard!$D$3,'Monthly Data'!$E:$E,DashBoard!$C26)</f>
        <v>0</v>
      </c>
      <c r="I26" s="6">
        <f>SUMIFS('Monthly Data'!$M:$M,'Monthly Data'!$B:$B,DashBoard!G$25,'Monthly Data'!$C:$C,DashBoard!$D$2,'Monthly Data'!$D:$D,DashBoard!$D$3,'Monthly Data'!$E:$E,DashBoard!$C26)</f>
        <v>0</v>
      </c>
      <c r="J26" s="20">
        <f>SUMIFS('Monthly Data'!$O:$O,'Monthly Data'!$B:$B,DashBoard!G$25,'Monthly Data'!$C:$C,DashBoard!$D$2,'Monthly Data'!$D:$D,DashBoard!$D$3,'Monthly Data'!$E:$E,DashBoard!$C26)</f>
        <v>0</v>
      </c>
      <c r="K26" s="6">
        <f>SUMIFS('Monthly Data'!$L:$L,'Monthly Data'!$B:$B,DashBoard!K$25,'Monthly Data'!$C:$C,DashBoard!$D$2,'Monthly Data'!$D:$D,DashBoard!$D$3,'Monthly Data'!$E:$E,DashBoard!$C26)</f>
        <v>0</v>
      </c>
      <c r="L26" s="6">
        <f>SUMIFS('Monthly Data'!$N:$N,'Monthly Data'!$B:$B,DashBoard!K$25,'Monthly Data'!$C:$C,DashBoard!$D$2,'Monthly Data'!$D:$D,DashBoard!$D$3,'Monthly Data'!$E:$E,DashBoard!$C26)</f>
        <v>0</v>
      </c>
      <c r="M26" s="6">
        <f>SUMIFS('Monthly Data'!$M:$M,'Monthly Data'!$B:$B,DashBoard!K$25,'Monthly Data'!$C:$C,DashBoard!$D$2,'Monthly Data'!$D:$D,DashBoard!$D$3,'Monthly Data'!$E:$E,DashBoard!$C26)</f>
        <v>0</v>
      </c>
      <c r="N26" s="20">
        <f>SUMIFS('Monthly Data'!$O:$O,'Monthly Data'!$B:$B,DashBoard!K$25,'Monthly Data'!$C:$C,DashBoard!$D$2,'Monthly Data'!$D:$D,DashBoard!$D$3,'Monthly Data'!$E:$E,DashBoard!$C26)</f>
        <v>0</v>
      </c>
      <c r="O26" s="6">
        <f>SUMIFS('Monthly Data'!$L:$L,'Monthly Data'!$B:$B,DashBoard!O$25,'Monthly Data'!$C:$C,DashBoard!$D$2,'Monthly Data'!$D:$D,DashBoard!$D$3,'Monthly Data'!$E:$E,DashBoard!$C26)</f>
        <v>0</v>
      </c>
      <c r="P26" s="6">
        <f>SUMIFS('Monthly Data'!$N:$N,'Monthly Data'!$B:$B,DashBoard!O$25,'Monthly Data'!$C:$C,DashBoard!$D$2,'Monthly Data'!$D:$D,DashBoard!$D$3,'Monthly Data'!$E:$E,DashBoard!$C26)</f>
        <v>0</v>
      </c>
      <c r="Q26" s="6">
        <f>SUMIFS('Monthly Data'!$M:$M,'Monthly Data'!$B:$B,DashBoard!O$25,'Monthly Data'!$C:$C,DashBoard!$D$2,'Monthly Data'!$D:$D,DashBoard!$D$3,'Monthly Data'!$E:$E,DashBoard!$C26)</f>
        <v>0</v>
      </c>
      <c r="R26" s="20">
        <f>SUMIFS('Monthly Data'!$O:$O,'Monthly Data'!$B:$B,DashBoard!O$25,'Monthly Data'!$C:$C,DashBoard!$D$2,'Monthly Data'!$D:$D,DashBoard!$D$3,'Monthly Data'!$E:$E,DashBoard!$C26)</f>
        <v>0</v>
      </c>
      <c r="S26" s="6">
        <f>SUMIFS('Monthly Data'!$J:$J,'Monthly Data'!$B:$B,$S$25,'Monthly Data'!$C:$C,DashBoard!$D$2,'Monthly Data'!$D:$D,DashBoard!$D$3,'Monthly Data'!E:E,DashBoard!$C26)</f>
        <v>0</v>
      </c>
      <c r="T26" s="6">
        <f>SUMIFS('Monthly Data'!$L:$L,'Monthly Data'!$B:$B,$S$25,'Monthly Data'!$C:$C,DashBoard!$D$2,'Monthly Data'!$D:$D,DashBoard!$D$3,'Monthly Data'!E:E,DashBoard!$C26)</f>
        <v>0</v>
      </c>
      <c r="U26" s="21">
        <f>SUMIFS('Monthly Data'!$M:$M,'Monthly Data'!$B:$B,$S$25,'Monthly Data'!$C:$C,DashBoard!$D$2,'Monthly Data'!$D:$D,DashBoard!$D$3,'Monthly Data'!E:E,DashBoard!$C26)</f>
        <v>0</v>
      </c>
      <c r="Y26" s="23"/>
    </row>
    <row r="27" spans="2:37">
      <c r="C27" s="43" t="str">
        <v xml:space="preserve">Sugar Sachet White </v>
      </c>
      <c r="D27" s="6" t="str">
        <f>_xlfn.IFNA(VLOOKUP(C27,'Monthly Data'!E:G,3,0),"0")</f>
        <v>Kg</v>
      </c>
      <c r="E27" s="6" t="str">
        <f>_xlfn.IFNA(VLOOKUP(C27,'Monthly Data'!E:H,4,0),"0")</f>
        <v>Local</v>
      </c>
      <c r="F27" s="6">
        <f>_xlfn.IFNA(VLOOKUP(C27,'Monthly Data'!E:I,5,0),"0")</f>
        <v>120</v>
      </c>
      <c r="G27" s="6">
        <f>SUMIFS('Monthly Data'!$L:$L,'Monthly Data'!$B:$B,DashBoard!G$25,'Monthly Data'!$C:$C,DashBoard!$D$2,'Monthly Data'!$D:$D,DashBoard!$D$3,'Monthly Data'!$E:$E,DashBoard!$C27)</f>
        <v>0</v>
      </c>
      <c r="H27" s="6">
        <f>SUMIFS('Monthly Data'!$N:$N,'Monthly Data'!$B:$B,DashBoard!G$25,'Monthly Data'!$C:$C,DashBoard!$D$2,'Monthly Data'!$D:$D,DashBoard!$D$3,'Monthly Data'!$E:$E,DashBoard!$C27)</f>
        <v>0</v>
      </c>
      <c r="I27" s="6">
        <f>SUMIFS('Monthly Data'!$M:$M,'Monthly Data'!$B:$B,DashBoard!G$25,'Monthly Data'!$C:$C,DashBoard!$D$2,'Monthly Data'!$D:$D,DashBoard!$D$3,'Monthly Data'!$E:$E,DashBoard!$C27)</f>
        <v>0</v>
      </c>
      <c r="J27" s="20">
        <f>SUMIFS('Monthly Data'!$O:$O,'Monthly Data'!$B:$B,DashBoard!G$25,'Monthly Data'!$C:$C,DashBoard!$D$2,'Monthly Data'!$D:$D,DashBoard!$D$3,'Monthly Data'!$E:$E,DashBoard!$C27)</f>
        <v>0</v>
      </c>
      <c r="K27" s="6">
        <f>SUMIFS('Monthly Data'!$L:$L,'Monthly Data'!$B:$B,DashBoard!K$25,'Monthly Data'!$C:$C,DashBoard!$D$2,'Monthly Data'!$D:$D,DashBoard!$D$3,'Monthly Data'!$E:$E,DashBoard!$C27)</f>
        <v>0</v>
      </c>
      <c r="L27" s="6">
        <f>SUMIFS('Monthly Data'!$N:$N,'Monthly Data'!$B:$B,DashBoard!K$25,'Monthly Data'!$C:$C,DashBoard!$D$2,'Monthly Data'!$D:$D,DashBoard!$D$3,'Monthly Data'!$E:$E,DashBoard!$C27)</f>
        <v>0</v>
      </c>
      <c r="M27" s="6">
        <f>SUMIFS('Monthly Data'!$M:$M,'Monthly Data'!$B:$B,DashBoard!K$25,'Monthly Data'!$C:$C,DashBoard!$D$2,'Monthly Data'!$D:$D,DashBoard!$D$3,'Monthly Data'!$E:$E,DashBoard!$C27)</f>
        <v>0</v>
      </c>
      <c r="N27" s="20">
        <f>SUMIFS('Monthly Data'!$O:$O,'Monthly Data'!$B:$B,DashBoard!K$25,'Monthly Data'!$C:$C,DashBoard!$D$2,'Monthly Data'!$D:$D,DashBoard!$D$3,'Monthly Data'!$E:$E,DashBoard!$C27)</f>
        <v>0</v>
      </c>
      <c r="O27" s="6">
        <f>SUMIFS('Monthly Data'!$L:$L,'Monthly Data'!$B:$B,DashBoard!O$25,'Monthly Data'!$C:$C,DashBoard!$D$2,'Monthly Data'!$D:$D,DashBoard!$D$3,'Monthly Data'!$E:$E,DashBoard!$C27)</f>
        <v>0</v>
      </c>
      <c r="P27" s="6">
        <f>SUMIFS('Monthly Data'!$N:$N,'Monthly Data'!$B:$B,DashBoard!O$25,'Monthly Data'!$C:$C,DashBoard!$D$2,'Monthly Data'!$D:$D,DashBoard!$D$3,'Monthly Data'!$E:$E,DashBoard!$C27)</f>
        <v>0</v>
      </c>
      <c r="Q27" s="6">
        <f>SUMIFS('Monthly Data'!$M:$M,'Monthly Data'!$B:$B,DashBoard!O$25,'Monthly Data'!$C:$C,DashBoard!$D$2,'Monthly Data'!$D:$D,DashBoard!$D$3,'Monthly Data'!$E:$E,DashBoard!$C27)</f>
        <v>0</v>
      </c>
      <c r="R27" s="20">
        <f>SUMIFS('Monthly Data'!$O:$O,'Monthly Data'!$B:$B,DashBoard!O$25,'Monthly Data'!$C:$C,DashBoard!$D$2,'Monthly Data'!$D:$D,DashBoard!$D$3,'Monthly Data'!$E:$E,DashBoard!$C27)</f>
        <v>0</v>
      </c>
      <c r="S27" s="6">
        <f>SUMIFS('Monthly Data'!$J:$J,'Monthly Data'!$B:$B,$S$25,'Monthly Data'!$C:$C,DashBoard!$D$2,'Monthly Data'!$D:$D,DashBoard!$D$3,'Monthly Data'!E:E,DashBoard!$C27)</f>
        <v>0</v>
      </c>
      <c r="T27" s="6">
        <f>SUMIFS('Monthly Data'!$L:$L,'Monthly Data'!$B:$B,$S$25,'Monthly Data'!$C:$C,DashBoard!$D$2,'Monthly Data'!$D:$D,DashBoard!$D$3,'Monthly Data'!E:E,DashBoard!$C27)</f>
        <v>0</v>
      </c>
      <c r="U27" s="21">
        <f>SUMIFS('Monthly Data'!$M:$M,'Monthly Data'!$B:$B,$S$25,'Monthly Data'!$C:$C,DashBoard!$D$2,'Monthly Data'!$D:$D,DashBoard!$D$3,'Monthly Data'!E:E,DashBoard!$C27)</f>
        <v>0</v>
      </c>
      <c r="Y27" s="23"/>
    </row>
    <row r="28" spans="2:37">
      <c r="C28" s="43" t="str">
        <v>Stirrer</v>
      </c>
      <c r="D28" s="6" t="str">
        <f>_xlfn.IFNA(VLOOKUP(C28,'Monthly Data'!E:G,3,0),"0")</f>
        <v>Nos</v>
      </c>
      <c r="E28" s="6" t="str">
        <f>_xlfn.IFNA(VLOOKUP(C28,'Monthly Data'!E:H,4,0),"0")</f>
        <v>Local</v>
      </c>
      <c r="F28" s="6">
        <f>_xlfn.IFNA(VLOOKUP(C28,'Monthly Data'!E:I,5,0),"0")</f>
        <v>0.25</v>
      </c>
      <c r="G28" s="6">
        <f>SUMIFS('Monthly Data'!$L:$L,'Monthly Data'!$B:$B,DashBoard!G$25,'Monthly Data'!$C:$C,DashBoard!$D$2,'Monthly Data'!$D:$D,DashBoard!$D$3,'Monthly Data'!$E:$E,DashBoard!$C28)</f>
        <v>0</v>
      </c>
      <c r="H28" s="6">
        <f>SUMIFS('Monthly Data'!$N:$N,'Monthly Data'!$B:$B,DashBoard!G$25,'Monthly Data'!$C:$C,DashBoard!$D$2,'Monthly Data'!$D:$D,DashBoard!$D$3,'Monthly Data'!$E:$E,DashBoard!$C28)</f>
        <v>0</v>
      </c>
      <c r="I28" s="6">
        <f>SUMIFS('Monthly Data'!$M:$M,'Monthly Data'!$B:$B,DashBoard!G$25,'Monthly Data'!$C:$C,DashBoard!$D$2,'Monthly Data'!$D:$D,DashBoard!$D$3,'Monthly Data'!$E:$E,DashBoard!$C28)</f>
        <v>0</v>
      </c>
      <c r="J28" s="20">
        <f>SUMIFS('Monthly Data'!$O:$O,'Monthly Data'!$B:$B,DashBoard!G$25,'Monthly Data'!$C:$C,DashBoard!$D$2,'Monthly Data'!$D:$D,DashBoard!$D$3,'Monthly Data'!$E:$E,DashBoard!$C28)</f>
        <v>0</v>
      </c>
      <c r="K28" s="6">
        <f>SUMIFS('Monthly Data'!$L:$L,'Monthly Data'!$B:$B,DashBoard!K$25,'Monthly Data'!$C:$C,DashBoard!$D$2,'Monthly Data'!$D:$D,DashBoard!$D$3,'Monthly Data'!$E:$E,DashBoard!$C28)</f>
        <v>0</v>
      </c>
      <c r="L28" s="6">
        <f>SUMIFS('Monthly Data'!$N:$N,'Monthly Data'!$B:$B,DashBoard!K$25,'Monthly Data'!$C:$C,DashBoard!$D$2,'Monthly Data'!$D:$D,DashBoard!$D$3,'Monthly Data'!$E:$E,DashBoard!$C28)</f>
        <v>0</v>
      </c>
      <c r="M28" s="6">
        <f>SUMIFS('Monthly Data'!$M:$M,'Monthly Data'!$B:$B,DashBoard!K$25,'Monthly Data'!$C:$C,DashBoard!$D$2,'Monthly Data'!$D:$D,DashBoard!$D$3,'Monthly Data'!$E:$E,DashBoard!$C28)</f>
        <v>0</v>
      </c>
      <c r="N28" s="20">
        <f>SUMIFS('Monthly Data'!$O:$O,'Monthly Data'!$B:$B,DashBoard!K$25,'Monthly Data'!$C:$C,DashBoard!$D$2,'Monthly Data'!$D:$D,DashBoard!$D$3,'Monthly Data'!$E:$E,DashBoard!$C28)</f>
        <v>0</v>
      </c>
      <c r="O28" s="6">
        <f>SUMIFS('Monthly Data'!$L:$L,'Monthly Data'!$B:$B,DashBoard!O$25,'Monthly Data'!$C:$C,DashBoard!$D$2,'Monthly Data'!$D:$D,DashBoard!$D$3,'Monthly Data'!$E:$E,DashBoard!$C28)</f>
        <v>0</v>
      </c>
      <c r="P28" s="6">
        <f>SUMIFS('Monthly Data'!$N:$N,'Monthly Data'!$B:$B,DashBoard!O$25,'Monthly Data'!$C:$C,DashBoard!$D$2,'Monthly Data'!$D:$D,DashBoard!$D$3,'Monthly Data'!$E:$E,DashBoard!$C28)</f>
        <v>0</v>
      </c>
      <c r="Q28" s="6">
        <f>SUMIFS('Monthly Data'!$M:$M,'Monthly Data'!$B:$B,DashBoard!O$25,'Monthly Data'!$C:$C,DashBoard!$D$2,'Monthly Data'!$D:$D,DashBoard!$D$3,'Monthly Data'!$E:$E,DashBoard!$C28)</f>
        <v>0</v>
      </c>
      <c r="R28" s="20">
        <f>SUMIFS('Monthly Data'!$O:$O,'Monthly Data'!$B:$B,DashBoard!O$25,'Monthly Data'!$C:$C,DashBoard!$D$2,'Monthly Data'!$D:$D,DashBoard!$D$3,'Monthly Data'!$E:$E,DashBoard!$C28)</f>
        <v>0</v>
      </c>
      <c r="S28" s="6">
        <f>SUMIFS('Monthly Data'!$J:$J,'Monthly Data'!$B:$B,$S$25,'Monthly Data'!$C:$C,DashBoard!$D$2,'Monthly Data'!$D:$D,DashBoard!$D$3,'Monthly Data'!E:E,DashBoard!$C28)</f>
        <v>0</v>
      </c>
      <c r="T28" s="6">
        <f>SUMIFS('Monthly Data'!$L:$L,'Monthly Data'!$B:$B,$S$25,'Monthly Data'!$C:$C,DashBoard!$D$2,'Monthly Data'!$D:$D,DashBoard!$D$3,'Monthly Data'!E:E,DashBoard!$C28)</f>
        <v>0</v>
      </c>
      <c r="U28" s="21">
        <f>SUMIFS('Monthly Data'!$M:$M,'Monthly Data'!$B:$B,$S$25,'Monthly Data'!$C:$C,DashBoard!$D$2,'Monthly Data'!$D:$D,DashBoard!$D$3,'Monthly Data'!E:E,DashBoard!$C28)</f>
        <v>0</v>
      </c>
      <c r="Y28" s="23"/>
    </row>
    <row r="29" spans="2:37">
      <c r="C29" s="43" t="str">
        <v>Milk</v>
      </c>
      <c r="D29" s="6" t="str">
        <f>_xlfn.IFNA(VLOOKUP(C29,'Monthly Data'!E:G,3,0),"0")</f>
        <v>1ltr</v>
      </c>
      <c r="E29" s="6" t="str">
        <f>_xlfn.IFNA(VLOOKUP(C29,'Monthly Data'!E:H,4,0),"0")</f>
        <v>Good life</v>
      </c>
      <c r="F29" s="6">
        <f>_xlfn.IFNA(VLOOKUP(C29,'Monthly Data'!E:I,5,0),"0")</f>
        <v>69.52</v>
      </c>
      <c r="G29" s="6">
        <f>SUMIFS('Monthly Data'!$L:$L,'Monthly Data'!$B:$B,DashBoard!G$25,'Monthly Data'!$C:$C,DashBoard!$D$2,'Monthly Data'!$D:$D,DashBoard!$D$3,'Monthly Data'!$E:$E,DashBoard!$C29)</f>
        <v>0</v>
      </c>
      <c r="H29" s="6">
        <f>SUMIFS('Monthly Data'!$N:$N,'Monthly Data'!$B:$B,DashBoard!G$25,'Monthly Data'!$C:$C,DashBoard!$D$2,'Monthly Data'!$D:$D,DashBoard!$D$3,'Monthly Data'!$E:$E,DashBoard!$C29)</f>
        <v>0</v>
      </c>
      <c r="I29" s="6">
        <f>SUMIFS('Monthly Data'!$M:$M,'Monthly Data'!$B:$B,DashBoard!G$25,'Monthly Data'!$C:$C,DashBoard!$D$2,'Monthly Data'!$D:$D,DashBoard!$D$3,'Monthly Data'!$E:$E,DashBoard!$C29)</f>
        <v>0</v>
      </c>
      <c r="J29" s="20">
        <f>SUMIFS('Monthly Data'!$O:$O,'Monthly Data'!$B:$B,DashBoard!G$25,'Monthly Data'!$C:$C,DashBoard!$D$2,'Monthly Data'!$D:$D,DashBoard!$D$3,'Monthly Data'!$E:$E,DashBoard!$C29)</f>
        <v>0</v>
      </c>
      <c r="K29" s="6">
        <f>SUMIFS('Monthly Data'!$L:$L,'Monthly Data'!$B:$B,DashBoard!K$25,'Monthly Data'!$C:$C,DashBoard!$D$2,'Monthly Data'!$D:$D,DashBoard!$D$3,'Monthly Data'!$E:$E,DashBoard!$C29)</f>
        <v>0</v>
      </c>
      <c r="L29" s="6">
        <f>SUMIFS('Monthly Data'!$N:$N,'Monthly Data'!$B:$B,DashBoard!K$25,'Monthly Data'!$C:$C,DashBoard!$D$2,'Monthly Data'!$D:$D,DashBoard!$D$3,'Monthly Data'!$E:$E,DashBoard!$C29)</f>
        <v>0</v>
      </c>
      <c r="M29" s="6">
        <f>SUMIFS('Monthly Data'!$M:$M,'Monthly Data'!$B:$B,DashBoard!K$25,'Monthly Data'!$C:$C,DashBoard!$D$2,'Monthly Data'!$D:$D,DashBoard!$D$3,'Monthly Data'!$E:$E,DashBoard!$C29)</f>
        <v>0</v>
      </c>
      <c r="N29" s="20">
        <f>SUMIFS('Monthly Data'!$O:$O,'Monthly Data'!$B:$B,DashBoard!K$25,'Monthly Data'!$C:$C,DashBoard!$D$2,'Monthly Data'!$D:$D,DashBoard!$D$3,'Monthly Data'!$E:$E,DashBoard!$C29)</f>
        <v>0</v>
      </c>
      <c r="O29" s="6">
        <f>SUMIFS('Monthly Data'!$L:$L,'Monthly Data'!$B:$B,DashBoard!O$25,'Monthly Data'!$C:$C,DashBoard!$D$2,'Monthly Data'!$D:$D,DashBoard!$D$3,'Monthly Data'!$E:$E,DashBoard!$C29)</f>
        <v>0</v>
      </c>
      <c r="P29" s="6">
        <f>SUMIFS('Monthly Data'!$N:$N,'Monthly Data'!$B:$B,DashBoard!O$25,'Monthly Data'!$C:$C,DashBoard!$D$2,'Monthly Data'!$D:$D,DashBoard!$D$3,'Monthly Data'!$E:$E,DashBoard!$C29)</f>
        <v>0</v>
      </c>
      <c r="Q29" s="6">
        <f>SUMIFS('Monthly Data'!$M:$M,'Monthly Data'!$B:$B,DashBoard!O$25,'Monthly Data'!$C:$C,DashBoard!$D$2,'Monthly Data'!$D:$D,DashBoard!$D$3,'Monthly Data'!$E:$E,DashBoard!$C29)</f>
        <v>0</v>
      </c>
      <c r="R29" s="20">
        <f>SUMIFS('Monthly Data'!$O:$O,'Monthly Data'!$B:$B,DashBoard!O$25,'Monthly Data'!$C:$C,DashBoard!$D$2,'Monthly Data'!$D:$D,DashBoard!$D$3,'Monthly Data'!$E:$E,DashBoard!$C29)</f>
        <v>0</v>
      </c>
      <c r="S29" s="6">
        <f>SUMIFS('Monthly Data'!$J:$J,'Monthly Data'!$B:$B,$S$25,'Monthly Data'!$C:$C,DashBoard!$D$2,'Monthly Data'!$D:$D,DashBoard!$D$3,'Monthly Data'!E:E,DashBoard!$C29)</f>
        <v>0</v>
      </c>
      <c r="T29" s="6">
        <f>SUMIFS('Monthly Data'!$L:$L,'Monthly Data'!$B:$B,$S$25,'Monthly Data'!$C:$C,DashBoard!$D$2,'Monthly Data'!$D:$D,DashBoard!$D$3,'Monthly Data'!E:E,DashBoard!$C29)</f>
        <v>0</v>
      </c>
      <c r="U29" s="21">
        <f>SUMIFS('Monthly Data'!$M:$M,'Monthly Data'!$B:$B,$S$25,'Monthly Data'!$C:$C,DashBoard!$D$2,'Monthly Data'!$D:$D,DashBoard!$D$3,'Monthly Data'!E:E,DashBoard!$C29)</f>
        <v>0</v>
      </c>
      <c r="W29" s="3"/>
      <c r="X29" s="24"/>
      <c r="Y29" s="23"/>
    </row>
    <row r="30" spans="2:37">
      <c r="C30" s="43" t="str">
        <v>Tea premix</v>
      </c>
      <c r="D30" s="6" t="str">
        <f>_xlfn.IFNA(VLOOKUP(C30,'Monthly Data'!E:G,3,0),"0")</f>
        <v>650ML</v>
      </c>
      <c r="E30" s="6" t="str">
        <f>_xlfn.IFNA(VLOOKUP(C30,'Monthly Data'!E:H,4,0),"0")</f>
        <v>Veebha</v>
      </c>
      <c r="F30" s="6">
        <f>_xlfn.IFNA(VLOOKUP(C30,'Monthly Data'!E:I,5,0),"0")</f>
        <v>160</v>
      </c>
      <c r="G30" s="6">
        <f>SUMIFS('Monthly Data'!$L:$L,'Monthly Data'!$B:$B,DashBoard!G$25,'Monthly Data'!$C:$C,DashBoard!$D$2,'Monthly Data'!$D:$D,DashBoard!$D$3,'Monthly Data'!$E:$E,DashBoard!$C30)</f>
        <v>0</v>
      </c>
      <c r="H30" s="6">
        <f>SUMIFS('Monthly Data'!$N:$N,'Monthly Data'!$B:$B,DashBoard!G$25,'Monthly Data'!$C:$C,DashBoard!$D$2,'Monthly Data'!$D:$D,DashBoard!$D$3,'Monthly Data'!$E:$E,DashBoard!$C30)</f>
        <v>0</v>
      </c>
      <c r="I30" s="6">
        <f>SUMIFS('Monthly Data'!$M:$M,'Monthly Data'!$B:$B,DashBoard!G$25,'Monthly Data'!$C:$C,DashBoard!$D$2,'Monthly Data'!$D:$D,DashBoard!$D$3,'Monthly Data'!$E:$E,DashBoard!$C30)</f>
        <v>0</v>
      </c>
      <c r="J30" s="20">
        <f>SUMIFS('Monthly Data'!$O:$O,'Monthly Data'!$B:$B,DashBoard!G$25,'Monthly Data'!$C:$C,DashBoard!$D$2,'Monthly Data'!$D:$D,DashBoard!$D$3,'Monthly Data'!$E:$E,DashBoard!$C30)</f>
        <v>0</v>
      </c>
      <c r="K30" s="6">
        <f>SUMIFS('Monthly Data'!$L:$L,'Monthly Data'!$B:$B,DashBoard!K$25,'Monthly Data'!$C:$C,DashBoard!$D$2,'Monthly Data'!$D:$D,DashBoard!$D$3,'Monthly Data'!$E:$E,DashBoard!$C30)</f>
        <v>0</v>
      </c>
      <c r="L30" s="6">
        <f>SUMIFS('Monthly Data'!$N:$N,'Monthly Data'!$B:$B,DashBoard!K$25,'Monthly Data'!$C:$C,DashBoard!$D$2,'Monthly Data'!$D:$D,DashBoard!$D$3,'Monthly Data'!$E:$E,DashBoard!$C30)</f>
        <v>0</v>
      </c>
      <c r="M30" s="6">
        <f>SUMIFS('Monthly Data'!$M:$M,'Monthly Data'!$B:$B,DashBoard!K$25,'Monthly Data'!$C:$C,DashBoard!$D$2,'Monthly Data'!$D:$D,DashBoard!$D$3,'Monthly Data'!$E:$E,DashBoard!$C30)</f>
        <v>0</v>
      </c>
      <c r="N30" s="20">
        <f>SUMIFS('Monthly Data'!$O:$O,'Monthly Data'!$B:$B,DashBoard!K$25,'Monthly Data'!$C:$C,DashBoard!$D$2,'Monthly Data'!$D:$D,DashBoard!$D$3,'Monthly Data'!$E:$E,DashBoard!$C30)</f>
        <v>0</v>
      </c>
      <c r="O30" s="6">
        <f>SUMIFS('Monthly Data'!$L:$L,'Monthly Data'!$B:$B,DashBoard!O$25,'Monthly Data'!$C:$C,DashBoard!$D$2,'Monthly Data'!$D:$D,DashBoard!$D$3,'Monthly Data'!$E:$E,DashBoard!$C30)</f>
        <v>0</v>
      </c>
      <c r="P30" s="6">
        <f>SUMIFS('Monthly Data'!$N:$N,'Monthly Data'!$B:$B,DashBoard!O$25,'Monthly Data'!$C:$C,DashBoard!$D$2,'Monthly Data'!$D:$D,DashBoard!$D$3,'Monthly Data'!$E:$E,DashBoard!$C30)</f>
        <v>0</v>
      </c>
      <c r="Q30" s="6">
        <f>SUMIFS('Monthly Data'!$M:$M,'Monthly Data'!$B:$B,DashBoard!O$25,'Monthly Data'!$C:$C,DashBoard!$D$2,'Monthly Data'!$D:$D,DashBoard!$D$3,'Monthly Data'!$E:$E,DashBoard!$C30)</f>
        <v>0</v>
      </c>
      <c r="R30" s="20">
        <f>SUMIFS('Monthly Data'!$O:$O,'Monthly Data'!$B:$B,DashBoard!O$25,'Monthly Data'!$C:$C,DashBoard!$D$2,'Monthly Data'!$D:$D,DashBoard!$D$3,'Monthly Data'!$E:$E,DashBoard!$C30)</f>
        <v>0</v>
      </c>
      <c r="S30" s="6">
        <f>SUMIFS('Monthly Data'!$J:$J,'Monthly Data'!$B:$B,$S$25,'Monthly Data'!$C:$C,DashBoard!$D$2,'Monthly Data'!$D:$D,DashBoard!$D$3,'Monthly Data'!E:E,DashBoard!$C30)</f>
        <v>0</v>
      </c>
      <c r="T30" s="6">
        <f>SUMIFS('Monthly Data'!$L:$L,'Monthly Data'!$B:$B,$S$25,'Monthly Data'!$C:$C,DashBoard!$D$2,'Monthly Data'!$D:$D,DashBoard!$D$3,'Monthly Data'!E:E,DashBoard!$C30)</f>
        <v>0</v>
      </c>
      <c r="U30" s="21">
        <f>SUMIFS('Monthly Data'!$M:$M,'Monthly Data'!$B:$B,$S$25,'Monthly Data'!$C:$C,DashBoard!$D$2,'Monthly Data'!$D:$D,DashBoard!$D$3,'Monthly Data'!E:E,DashBoard!$C30)</f>
        <v>0</v>
      </c>
      <c r="W30" s="3"/>
    </row>
    <row r="31" spans="2:37">
      <c r="C31" s="43" t="str">
        <v>Coffee</v>
      </c>
      <c r="D31" s="6" t="str">
        <f>_xlfn.IFNA(VLOOKUP(C31,'Monthly Data'!E:G,3,0),"0")</f>
        <v>650ML</v>
      </c>
      <c r="E31" s="6" t="str">
        <f>_xlfn.IFNA(VLOOKUP(C31,'Monthly Data'!E:H,4,0),"0")</f>
        <v>Veebha</v>
      </c>
      <c r="F31" s="6">
        <f>_xlfn.IFNA(VLOOKUP(C31,'Monthly Data'!E:I,5,0),"0")</f>
        <v>160</v>
      </c>
      <c r="G31" s="6">
        <f>SUMIFS('Monthly Data'!$L:$L,'Monthly Data'!$B:$B,DashBoard!G$25,'Monthly Data'!$C:$C,DashBoard!$D$2,'Monthly Data'!$D:$D,DashBoard!$D$3,'Monthly Data'!$E:$E,DashBoard!$C31)</f>
        <v>0</v>
      </c>
      <c r="H31" s="6">
        <f>SUMIFS('Monthly Data'!$N:$N,'Monthly Data'!$B:$B,DashBoard!G$25,'Monthly Data'!$C:$C,DashBoard!$D$2,'Monthly Data'!$D:$D,DashBoard!$D$3,'Monthly Data'!$E:$E,DashBoard!$C31)</f>
        <v>0</v>
      </c>
      <c r="I31" s="6">
        <f>SUMIFS('Monthly Data'!$M:$M,'Monthly Data'!$B:$B,DashBoard!G$25,'Monthly Data'!$C:$C,DashBoard!$D$2,'Monthly Data'!$D:$D,DashBoard!$D$3,'Monthly Data'!$E:$E,DashBoard!$C31)</f>
        <v>0</v>
      </c>
      <c r="J31" s="20">
        <f>SUMIFS('Monthly Data'!$O:$O,'Monthly Data'!$B:$B,DashBoard!G$25,'Monthly Data'!$C:$C,DashBoard!$D$2,'Monthly Data'!$D:$D,DashBoard!$D$3,'Monthly Data'!$E:$E,DashBoard!$C31)</f>
        <v>0</v>
      </c>
      <c r="K31" s="6">
        <f>SUMIFS('Monthly Data'!$L:$L,'Monthly Data'!$B:$B,DashBoard!K$25,'Monthly Data'!$C:$C,DashBoard!$D$2,'Monthly Data'!$D:$D,DashBoard!$D$3,'Monthly Data'!$E:$E,DashBoard!$C31)</f>
        <v>0</v>
      </c>
      <c r="L31" s="6">
        <f>SUMIFS('Monthly Data'!$N:$N,'Monthly Data'!$B:$B,DashBoard!K$25,'Monthly Data'!$C:$C,DashBoard!$D$2,'Monthly Data'!$D:$D,DashBoard!$D$3,'Monthly Data'!$E:$E,DashBoard!$C31)</f>
        <v>0</v>
      </c>
      <c r="M31" s="6">
        <f>SUMIFS('Monthly Data'!$M:$M,'Monthly Data'!$B:$B,DashBoard!K$25,'Monthly Data'!$C:$C,DashBoard!$D$2,'Monthly Data'!$D:$D,DashBoard!$D$3,'Monthly Data'!$E:$E,DashBoard!$C31)</f>
        <v>0</v>
      </c>
      <c r="N31" s="20">
        <f>SUMIFS('Monthly Data'!$O:$O,'Monthly Data'!$B:$B,DashBoard!K$25,'Monthly Data'!$C:$C,DashBoard!$D$2,'Monthly Data'!$D:$D,DashBoard!$D$3,'Monthly Data'!$E:$E,DashBoard!$C31)</f>
        <v>0</v>
      </c>
      <c r="O31" s="6">
        <f>SUMIFS('Monthly Data'!$L:$L,'Monthly Data'!$B:$B,DashBoard!O$25,'Monthly Data'!$C:$C,DashBoard!$D$2,'Monthly Data'!$D:$D,DashBoard!$D$3,'Monthly Data'!$E:$E,DashBoard!$C31)</f>
        <v>0</v>
      </c>
      <c r="P31" s="6">
        <f>SUMIFS('Monthly Data'!$N:$N,'Monthly Data'!$B:$B,DashBoard!O$25,'Monthly Data'!$C:$C,DashBoard!$D$2,'Monthly Data'!$D:$D,DashBoard!$D$3,'Monthly Data'!$E:$E,DashBoard!$C31)</f>
        <v>0</v>
      </c>
      <c r="Q31" s="6">
        <f>SUMIFS('Monthly Data'!$M:$M,'Monthly Data'!$B:$B,DashBoard!O$25,'Monthly Data'!$C:$C,DashBoard!$D$2,'Monthly Data'!$D:$D,DashBoard!$D$3,'Monthly Data'!$E:$E,DashBoard!$C31)</f>
        <v>0</v>
      </c>
      <c r="R31" s="20">
        <f>SUMIFS('Monthly Data'!$O:$O,'Monthly Data'!$B:$B,DashBoard!O$25,'Monthly Data'!$C:$C,DashBoard!$D$2,'Monthly Data'!$D:$D,DashBoard!$D$3,'Monthly Data'!$E:$E,DashBoard!$C31)</f>
        <v>0</v>
      </c>
      <c r="S31" s="6">
        <f>SUMIFS('Monthly Data'!$J:$J,'Monthly Data'!$B:$B,$S$25,'Monthly Data'!$C:$C,DashBoard!$D$2,'Monthly Data'!$D:$D,DashBoard!$D$3,'Monthly Data'!E:E,DashBoard!$C31)</f>
        <v>0</v>
      </c>
      <c r="T31" s="6">
        <f>SUMIFS('Monthly Data'!$L:$L,'Monthly Data'!$B:$B,$S$25,'Monthly Data'!$C:$C,DashBoard!$D$2,'Monthly Data'!$D:$D,DashBoard!$D$3,'Monthly Data'!E:E,DashBoard!$C31)</f>
        <v>0</v>
      </c>
      <c r="U31" s="21">
        <f>SUMIFS('Monthly Data'!$M:$M,'Monthly Data'!$B:$B,$S$25,'Monthly Data'!$C:$C,DashBoard!$D$2,'Monthly Data'!$D:$D,DashBoard!$D$3,'Monthly Data'!E:E,DashBoard!$C31)</f>
        <v>0</v>
      </c>
      <c r="W31" s="3"/>
    </row>
    <row r="32" spans="2:37">
      <c r="C32" s="43" t="str">
        <v>Flavor Tea bag Flavored -Plain</v>
      </c>
      <c r="D32" s="6" t="str">
        <f>_xlfn.IFNA(VLOOKUP(C32,'Monthly Data'!E:G,3,0),"0")</f>
        <v>box</v>
      </c>
      <c r="E32" s="6" t="str">
        <f>_xlfn.IFNA(VLOOKUP(C32,'Monthly Data'!E:H,4,0),"0")</f>
        <v>Local</v>
      </c>
      <c r="F32" s="6">
        <f>_xlfn.IFNA(VLOOKUP(C32,'Monthly Data'!E:I,5,0),"0")</f>
        <v>200</v>
      </c>
      <c r="G32" s="6">
        <f>SUMIFS('Monthly Data'!$L:$L,'Monthly Data'!$B:$B,DashBoard!G$25,'Monthly Data'!$C:$C,DashBoard!$D$2,'Monthly Data'!$D:$D,DashBoard!$D$3,'Monthly Data'!$E:$E,DashBoard!$C32)</f>
        <v>0</v>
      </c>
      <c r="H32" s="6">
        <f>SUMIFS('Monthly Data'!$N:$N,'Monthly Data'!$B:$B,DashBoard!G$25,'Monthly Data'!$C:$C,DashBoard!$D$2,'Monthly Data'!$D:$D,DashBoard!$D$3,'Monthly Data'!$E:$E,DashBoard!$C32)</f>
        <v>0</v>
      </c>
      <c r="I32" s="6">
        <f>SUMIFS('Monthly Data'!$M:$M,'Monthly Data'!$B:$B,DashBoard!G$25,'Monthly Data'!$C:$C,DashBoard!$D$2,'Monthly Data'!$D:$D,DashBoard!$D$3,'Monthly Data'!$E:$E,DashBoard!$C32)</f>
        <v>0</v>
      </c>
      <c r="J32" s="20">
        <f>SUMIFS('Monthly Data'!$O:$O,'Monthly Data'!$B:$B,DashBoard!G$25,'Monthly Data'!$C:$C,DashBoard!$D$2,'Monthly Data'!$D:$D,DashBoard!$D$3,'Monthly Data'!$E:$E,DashBoard!$C32)</f>
        <v>0</v>
      </c>
      <c r="K32" s="6">
        <f>SUMIFS('Monthly Data'!$L:$L,'Monthly Data'!$B:$B,DashBoard!K$25,'Monthly Data'!$C:$C,DashBoard!$D$2,'Monthly Data'!$D:$D,DashBoard!$D$3,'Monthly Data'!$E:$E,DashBoard!$C32)</f>
        <v>0</v>
      </c>
      <c r="L32" s="6">
        <f>SUMIFS('Monthly Data'!$N:$N,'Monthly Data'!$B:$B,DashBoard!K$25,'Monthly Data'!$C:$C,DashBoard!$D$2,'Monthly Data'!$D:$D,DashBoard!$D$3,'Monthly Data'!$E:$E,DashBoard!$C32)</f>
        <v>0</v>
      </c>
      <c r="M32" s="6">
        <f>SUMIFS('Monthly Data'!$M:$M,'Monthly Data'!$B:$B,DashBoard!K$25,'Monthly Data'!$C:$C,DashBoard!$D$2,'Monthly Data'!$D:$D,DashBoard!$D$3,'Monthly Data'!$E:$E,DashBoard!$C32)</f>
        <v>0</v>
      </c>
      <c r="N32" s="20">
        <f>SUMIFS('Monthly Data'!$O:$O,'Monthly Data'!$B:$B,DashBoard!K$25,'Monthly Data'!$C:$C,DashBoard!$D$2,'Monthly Data'!$D:$D,DashBoard!$D$3,'Monthly Data'!$E:$E,DashBoard!$C32)</f>
        <v>0</v>
      </c>
      <c r="O32" s="6">
        <f>SUMIFS('Monthly Data'!$L:$L,'Monthly Data'!$B:$B,DashBoard!O$25,'Monthly Data'!$C:$C,DashBoard!$D$2,'Monthly Data'!$D:$D,DashBoard!$D$3,'Monthly Data'!$E:$E,DashBoard!$C32)</f>
        <v>0</v>
      </c>
      <c r="P32" s="6">
        <f>SUMIFS('Monthly Data'!$N:$N,'Monthly Data'!$B:$B,DashBoard!O$25,'Monthly Data'!$C:$C,DashBoard!$D$2,'Monthly Data'!$D:$D,DashBoard!$D$3,'Monthly Data'!$E:$E,DashBoard!$C32)</f>
        <v>0</v>
      </c>
      <c r="Q32" s="6">
        <f>SUMIFS('Monthly Data'!$M:$M,'Monthly Data'!$B:$B,DashBoard!O$25,'Monthly Data'!$C:$C,DashBoard!$D$2,'Monthly Data'!$D:$D,DashBoard!$D$3,'Monthly Data'!$E:$E,DashBoard!$C32)</f>
        <v>0</v>
      </c>
      <c r="R32" s="20">
        <f>SUMIFS('Monthly Data'!$O:$O,'Monthly Data'!$B:$B,DashBoard!O$25,'Monthly Data'!$C:$C,DashBoard!$D$2,'Monthly Data'!$D:$D,DashBoard!$D$3,'Monthly Data'!$E:$E,DashBoard!$C32)</f>
        <v>0</v>
      </c>
      <c r="S32" s="6">
        <f>SUMIFS('Monthly Data'!$J:$J,'Monthly Data'!$B:$B,$S$25,'Monthly Data'!$C:$C,DashBoard!$D$2,'Monthly Data'!$D:$D,DashBoard!$D$3,'Monthly Data'!E:E,DashBoard!$C32)</f>
        <v>0</v>
      </c>
      <c r="T32" s="6">
        <f>SUMIFS('Monthly Data'!$L:$L,'Monthly Data'!$B:$B,$S$25,'Monthly Data'!$C:$C,DashBoard!$D$2,'Monthly Data'!$D:$D,DashBoard!$D$3,'Monthly Data'!E:E,DashBoard!$C32)</f>
        <v>0</v>
      </c>
      <c r="U32" s="21">
        <f>SUMIFS('Monthly Data'!$M:$M,'Monthly Data'!$B:$B,$S$25,'Monthly Data'!$C:$C,DashBoard!$D$2,'Monthly Data'!$D:$D,DashBoard!$D$3,'Monthly Data'!E:E,DashBoard!$C32)</f>
        <v>0</v>
      </c>
      <c r="W32" s="3"/>
    </row>
    <row r="33" spans="3:23">
      <c r="C33" s="43" t="str">
        <v>Flavor Tea bag Flavored -Cardamom</v>
      </c>
      <c r="D33" s="6" t="str">
        <f>_xlfn.IFNA(VLOOKUP(C33,'Monthly Data'!E:G,3,0),"0")</f>
        <v>box</v>
      </c>
      <c r="E33" s="6" t="str">
        <f>_xlfn.IFNA(VLOOKUP(C33,'Monthly Data'!E:H,4,0),"0")</f>
        <v>Local</v>
      </c>
      <c r="F33" s="6">
        <f>_xlfn.IFNA(VLOOKUP(C33,'Monthly Data'!E:I,5,0),"0")</f>
        <v>220</v>
      </c>
      <c r="G33" s="6">
        <f>SUMIFS('Monthly Data'!$L:$L,'Monthly Data'!$B:$B,DashBoard!G$25,'Monthly Data'!$C:$C,DashBoard!$D$2,'Monthly Data'!$D:$D,DashBoard!$D$3,'Monthly Data'!$E:$E,DashBoard!$C33)</f>
        <v>0</v>
      </c>
      <c r="H33" s="6">
        <f>SUMIFS('Monthly Data'!$N:$N,'Monthly Data'!$B:$B,DashBoard!G$25,'Monthly Data'!$C:$C,DashBoard!$D$2,'Monthly Data'!$D:$D,DashBoard!$D$3,'Monthly Data'!$E:$E,DashBoard!$C33)</f>
        <v>0</v>
      </c>
      <c r="I33" s="6">
        <f>SUMIFS('Monthly Data'!$M:$M,'Monthly Data'!$B:$B,DashBoard!G$25,'Monthly Data'!$C:$C,DashBoard!$D$2,'Monthly Data'!$D:$D,DashBoard!$D$3,'Monthly Data'!$E:$E,DashBoard!$C33)</f>
        <v>0</v>
      </c>
      <c r="J33" s="20">
        <f>SUMIFS('Monthly Data'!$O:$O,'Monthly Data'!$B:$B,DashBoard!G$25,'Monthly Data'!$C:$C,DashBoard!$D$2,'Monthly Data'!$D:$D,DashBoard!$D$3,'Monthly Data'!$E:$E,DashBoard!$C33)</f>
        <v>0</v>
      </c>
      <c r="K33" s="6">
        <f>SUMIFS('Monthly Data'!$L:$L,'Monthly Data'!$B:$B,DashBoard!K$25,'Monthly Data'!$C:$C,DashBoard!$D$2,'Monthly Data'!$D:$D,DashBoard!$D$3,'Monthly Data'!$E:$E,DashBoard!$C33)</f>
        <v>0</v>
      </c>
      <c r="L33" s="6">
        <f>SUMIFS('Monthly Data'!$N:$N,'Monthly Data'!$B:$B,DashBoard!K$25,'Monthly Data'!$C:$C,DashBoard!$D$2,'Monthly Data'!$D:$D,DashBoard!$D$3,'Monthly Data'!$E:$E,DashBoard!$C33)</f>
        <v>0</v>
      </c>
      <c r="M33" s="6">
        <f>SUMIFS('Monthly Data'!$M:$M,'Monthly Data'!$B:$B,DashBoard!K$25,'Monthly Data'!$C:$C,DashBoard!$D$2,'Monthly Data'!$D:$D,DashBoard!$D$3,'Monthly Data'!$E:$E,DashBoard!$C33)</f>
        <v>0</v>
      </c>
      <c r="N33" s="20">
        <f>SUMIFS('Monthly Data'!$O:$O,'Monthly Data'!$B:$B,DashBoard!K$25,'Monthly Data'!$C:$C,DashBoard!$D$2,'Monthly Data'!$D:$D,DashBoard!$D$3,'Monthly Data'!$E:$E,DashBoard!$C33)</f>
        <v>0</v>
      </c>
      <c r="O33" s="6">
        <f>SUMIFS('Monthly Data'!$L:$L,'Monthly Data'!$B:$B,DashBoard!O$25,'Monthly Data'!$C:$C,DashBoard!$D$2,'Monthly Data'!$D:$D,DashBoard!$D$3,'Monthly Data'!$E:$E,DashBoard!$C33)</f>
        <v>0</v>
      </c>
      <c r="P33" s="6">
        <f>SUMIFS('Monthly Data'!$N:$N,'Monthly Data'!$B:$B,DashBoard!O$25,'Monthly Data'!$C:$C,DashBoard!$D$2,'Monthly Data'!$D:$D,DashBoard!$D$3,'Monthly Data'!$E:$E,DashBoard!$C33)</f>
        <v>0</v>
      </c>
      <c r="Q33" s="6">
        <f>SUMIFS('Monthly Data'!$M:$M,'Monthly Data'!$B:$B,DashBoard!O$25,'Monthly Data'!$C:$C,DashBoard!$D$2,'Monthly Data'!$D:$D,DashBoard!$D$3,'Monthly Data'!$E:$E,DashBoard!$C33)</f>
        <v>0</v>
      </c>
      <c r="R33" s="20">
        <f>SUMIFS('Monthly Data'!$O:$O,'Monthly Data'!$B:$B,DashBoard!O$25,'Monthly Data'!$C:$C,DashBoard!$D$2,'Monthly Data'!$D:$D,DashBoard!$D$3,'Monthly Data'!$E:$E,DashBoard!$C33)</f>
        <v>0</v>
      </c>
      <c r="S33" s="6">
        <f>SUMIFS('Monthly Data'!$J:$J,'Monthly Data'!$B:$B,$S$25,'Monthly Data'!$C:$C,DashBoard!$D$2,'Monthly Data'!$D:$D,DashBoard!$D$3,'Monthly Data'!E:E,DashBoard!$C33)</f>
        <v>0</v>
      </c>
      <c r="T33" s="6">
        <f>SUMIFS('Monthly Data'!$L:$L,'Monthly Data'!$B:$B,$S$25,'Monthly Data'!$C:$C,DashBoard!$D$2,'Monthly Data'!$D:$D,DashBoard!$D$3,'Monthly Data'!E:E,DashBoard!$C33)</f>
        <v>0</v>
      </c>
      <c r="U33" s="21">
        <f>SUMIFS('Monthly Data'!$M:$M,'Monthly Data'!$B:$B,$S$25,'Monthly Data'!$C:$C,DashBoard!$D$2,'Monthly Data'!$D:$D,DashBoard!$D$3,'Monthly Data'!E:E,DashBoard!$C33)</f>
        <v>0</v>
      </c>
      <c r="W33" s="3"/>
    </row>
    <row r="34" spans="3:23">
      <c r="C34" s="43" t="str">
        <v xml:space="preserve">Flavor Tea bag Flavored - Ginger </v>
      </c>
      <c r="D34" s="6" t="str">
        <f>_xlfn.IFNA(VLOOKUP(C34,'Monthly Data'!E:G,3,0),"0")</f>
        <v>box</v>
      </c>
      <c r="E34" s="6" t="str">
        <f>_xlfn.IFNA(VLOOKUP(C34,'Monthly Data'!E:H,4,0),"0")</f>
        <v>Local</v>
      </c>
      <c r="F34" s="6">
        <f>_xlfn.IFNA(VLOOKUP(C34,'Monthly Data'!E:I,5,0),"0")</f>
        <v>220</v>
      </c>
      <c r="G34" s="6">
        <f>SUMIFS('Monthly Data'!$L:$L,'Monthly Data'!$B:$B,DashBoard!G$25,'Monthly Data'!$C:$C,DashBoard!$D$2,'Monthly Data'!$D:$D,DashBoard!$D$3,'Monthly Data'!$E:$E,DashBoard!$C34)</f>
        <v>0</v>
      </c>
      <c r="H34" s="6">
        <f>SUMIFS('Monthly Data'!$N:$N,'Monthly Data'!$B:$B,DashBoard!G$25,'Monthly Data'!$C:$C,DashBoard!$D$2,'Monthly Data'!$D:$D,DashBoard!$D$3,'Monthly Data'!$E:$E,DashBoard!$C34)</f>
        <v>0</v>
      </c>
      <c r="I34" s="6">
        <f>SUMIFS('Monthly Data'!$M:$M,'Monthly Data'!$B:$B,DashBoard!G$25,'Monthly Data'!$C:$C,DashBoard!$D$2,'Monthly Data'!$D:$D,DashBoard!$D$3,'Monthly Data'!$E:$E,DashBoard!$C34)</f>
        <v>0</v>
      </c>
      <c r="J34" s="20">
        <f>SUMIFS('Monthly Data'!$O:$O,'Monthly Data'!$B:$B,DashBoard!G$25,'Monthly Data'!$C:$C,DashBoard!$D$2,'Monthly Data'!$D:$D,DashBoard!$D$3,'Monthly Data'!$E:$E,DashBoard!$C34)</f>
        <v>0</v>
      </c>
      <c r="K34" s="6">
        <f>SUMIFS('Monthly Data'!$L:$L,'Monthly Data'!$B:$B,DashBoard!K$25,'Monthly Data'!$C:$C,DashBoard!$D$2,'Monthly Data'!$D:$D,DashBoard!$D$3,'Monthly Data'!$E:$E,DashBoard!$C34)</f>
        <v>0</v>
      </c>
      <c r="L34" s="6">
        <f>SUMIFS('Monthly Data'!$N:$N,'Monthly Data'!$B:$B,DashBoard!K$25,'Monthly Data'!$C:$C,DashBoard!$D$2,'Monthly Data'!$D:$D,DashBoard!$D$3,'Monthly Data'!$E:$E,DashBoard!$C34)</f>
        <v>0</v>
      </c>
      <c r="M34" s="6">
        <f>SUMIFS('Monthly Data'!$M:$M,'Monthly Data'!$B:$B,DashBoard!K$25,'Monthly Data'!$C:$C,DashBoard!$D$2,'Monthly Data'!$D:$D,DashBoard!$D$3,'Monthly Data'!$E:$E,DashBoard!$C34)</f>
        <v>0</v>
      </c>
      <c r="N34" s="20">
        <f>SUMIFS('Monthly Data'!$O:$O,'Monthly Data'!$B:$B,DashBoard!K$25,'Monthly Data'!$C:$C,DashBoard!$D$2,'Monthly Data'!$D:$D,DashBoard!$D$3,'Monthly Data'!$E:$E,DashBoard!$C34)</f>
        <v>0</v>
      </c>
      <c r="O34" s="6">
        <f>SUMIFS('Monthly Data'!$L:$L,'Monthly Data'!$B:$B,DashBoard!O$25,'Monthly Data'!$C:$C,DashBoard!$D$2,'Monthly Data'!$D:$D,DashBoard!$D$3,'Monthly Data'!$E:$E,DashBoard!$C34)</f>
        <v>0</v>
      </c>
      <c r="P34" s="6">
        <f>SUMIFS('Monthly Data'!$N:$N,'Monthly Data'!$B:$B,DashBoard!O$25,'Monthly Data'!$C:$C,DashBoard!$D$2,'Monthly Data'!$D:$D,DashBoard!$D$3,'Monthly Data'!$E:$E,DashBoard!$C34)</f>
        <v>0</v>
      </c>
      <c r="Q34" s="6">
        <f>SUMIFS('Monthly Data'!$M:$M,'Monthly Data'!$B:$B,DashBoard!O$25,'Monthly Data'!$C:$C,DashBoard!$D$2,'Monthly Data'!$D:$D,DashBoard!$D$3,'Monthly Data'!$E:$E,DashBoard!$C34)</f>
        <v>0</v>
      </c>
      <c r="R34" s="20">
        <f>SUMIFS('Monthly Data'!$O:$O,'Monthly Data'!$B:$B,DashBoard!O$25,'Monthly Data'!$C:$C,DashBoard!$D$2,'Monthly Data'!$D:$D,DashBoard!$D$3,'Monthly Data'!$E:$E,DashBoard!$C34)</f>
        <v>0</v>
      </c>
      <c r="S34" s="6">
        <f>SUMIFS('Monthly Data'!$J:$J,'Monthly Data'!$B:$B,$S$25,'Monthly Data'!$C:$C,DashBoard!$D$2,'Monthly Data'!$D:$D,DashBoard!$D$3,'Monthly Data'!E:E,DashBoard!$C34)</f>
        <v>0</v>
      </c>
      <c r="T34" s="6">
        <f>SUMIFS('Monthly Data'!$L:$L,'Monthly Data'!$B:$B,$S$25,'Monthly Data'!$C:$C,DashBoard!$D$2,'Monthly Data'!$D:$D,DashBoard!$D$3,'Monthly Data'!E:E,DashBoard!$C34)</f>
        <v>0</v>
      </c>
      <c r="U34" s="21">
        <f>SUMIFS('Monthly Data'!$M:$M,'Monthly Data'!$B:$B,$S$25,'Monthly Data'!$C:$C,DashBoard!$D$2,'Monthly Data'!$D:$D,DashBoard!$D$3,'Monthly Data'!E:E,DashBoard!$C34)</f>
        <v>0</v>
      </c>
      <c r="W34" s="3"/>
    </row>
    <row r="35" spans="3:23">
      <c r="C35" s="43" t="str">
        <v>Flavor Tea bag Flavored - Masal</v>
      </c>
      <c r="D35" s="6" t="str">
        <f>_xlfn.IFNA(VLOOKUP(C35,'Monthly Data'!E:G,3,0),"0")</f>
        <v>box</v>
      </c>
      <c r="E35" s="6" t="str">
        <f>_xlfn.IFNA(VLOOKUP(C35,'Monthly Data'!E:H,4,0),"0")</f>
        <v>Local</v>
      </c>
      <c r="F35" s="6">
        <f>_xlfn.IFNA(VLOOKUP(C35,'Monthly Data'!E:I,5,0),"0")</f>
        <v>220</v>
      </c>
      <c r="G35" s="6">
        <f>SUMIFS('Monthly Data'!$L:$L,'Monthly Data'!$B:$B,DashBoard!G$25,'Monthly Data'!$C:$C,DashBoard!$D$2,'Monthly Data'!$D:$D,DashBoard!$D$3,'Monthly Data'!$E:$E,DashBoard!$C35)</f>
        <v>0</v>
      </c>
      <c r="H35" s="6">
        <f>SUMIFS('Monthly Data'!$N:$N,'Monthly Data'!$B:$B,DashBoard!G$25,'Monthly Data'!$C:$C,DashBoard!$D$2,'Monthly Data'!$D:$D,DashBoard!$D$3,'Monthly Data'!$E:$E,DashBoard!$C35)</f>
        <v>0</v>
      </c>
      <c r="I35" s="6">
        <f>SUMIFS('Monthly Data'!$M:$M,'Monthly Data'!$B:$B,DashBoard!G$25,'Monthly Data'!$C:$C,DashBoard!$D$2,'Monthly Data'!$D:$D,DashBoard!$D$3,'Monthly Data'!$E:$E,DashBoard!$C35)</f>
        <v>0</v>
      </c>
      <c r="J35" s="20">
        <f>SUMIFS('Monthly Data'!$O:$O,'Monthly Data'!$B:$B,DashBoard!G$25,'Monthly Data'!$C:$C,DashBoard!$D$2,'Monthly Data'!$D:$D,DashBoard!$D$3,'Monthly Data'!$E:$E,DashBoard!$C35)</f>
        <v>0</v>
      </c>
      <c r="K35" s="6">
        <f>SUMIFS('Monthly Data'!$L:$L,'Monthly Data'!$B:$B,DashBoard!K$25,'Monthly Data'!$C:$C,DashBoard!$D$2,'Monthly Data'!$D:$D,DashBoard!$D$3,'Monthly Data'!$E:$E,DashBoard!$C35)</f>
        <v>0</v>
      </c>
      <c r="L35" s="6">
        <f>SUMIFS('Monthly Data'!$N:$N,'Monthly Data'!$B:$B,DashBoard!K$25,'Monthly Data'!$C:$C,DashBoard!$D$2,'Monthly Data'!$D:$D,DashBoard!$D$3,'Monthly Data'!$E:$E,DashBoard!$C35)</f>
        <v>0</v>
      </c>
      <c r="M35" s="6">
        <f>SUMIFS('Monthly Data'!$M:$M,'Monthly Data'!$B:$B,DashBoard!K$25,'Monthly Data'!$C:$C,DashBoard!$D$2,'Monthly Data'!$D:$D,DashBoard!$D$3,'Monthly Data'!$E:$E,DashBoard!$C35)</f>
        <v>0</v>
      </c>
      <c r="N35" s="20">
        <f>SUMIFS('Monthly Data'!$O:$O,'Monthly Data'!$B:$B,DashBoard!K$25,'Monthly Data'!$C:$C,DashBoard!$D$2,'Monthly Data'!$D:$D,DashBoard!$D$3,'Monthly Data'!$E:$E,DashBoard!$C35)</f>
        <v>0</v>
      </c>
      <c r="O35" s="6">
        <f>SUMIFS('Monthly Data'!$L:$L,'Monthly Data'!$B:$B,DashBoard!O$25,'Monthly Data'!$C:$C,DashBoard!$D$2,'Monthly Data'!$D:$D,DashBoard!$D$3,'Monthly Data'!$E:$E,DashBoard!$C35)</f>
        <v>0</v>
      </c>
      <c r="P35" s="6">
        <f>SUMIFS('Monthly Data'!$N:$N,'Monthly Data'!$B:$B,DashBoard!O$25,'Monthly Data'!$C:$C,DashBoard!$D$2,'Monthly Data'!$D:$D,DashBoard!$D$3,'Monthly Data'!$E:$E,DashBoard!$C35)</f>
        <v>0</v>
      </c>
      <c r="Q35" s="6">
        <f>SUMIFS('Monthly Data'!$M:$M,'Monthly Data'!$B:$B,DashBoard!O$25,'Monthly Data'!$C:$C,DashBoard!$D$2,'Monthly Data'!$D:$D,DashBoard!$D$3,'Monthly Data'!$E:$E,DashBoard!$C35)</f>
        <v>0</v>
      </c>
      <c r="R35" s="20">
        <f>SUMIFS('Monthly Data'!$O:$O,'Monthly Data'!$B:$B,DashBoard!O$25,'Monthly Data'!$C:$C,DashBoard!$D$2,'Monthly Data'!$D:$D,DashBoard!$D$3,'Monthly Data'!$E:$E,DashBoard!$C35)</f>
        <v>0</v>
      </c>
      <c r="S35" s="6">
        <f>SUMIFS('Monthly Data'!$J:$J,'Monthly Data'!$B:$B,$S$25,'Monthly Data'!$C:$C,DashBoard!$D$2,'Monthly Data'!$D:$D,DashBoard!$D$3,'Monthly Data'!E:E,DashBoard!$C35)</f>
        <v>0</v>
      </c>
      <c r="T35" s="6">
        <f>SUMIFS('Monthly Data'!$L:$L,'Monthly Data'!$B:$B,$S$25,'Monthly Data'!$C:$C,DashBoard!$D$2,'Monthly Data'!$D:$D,DashBoard!$D$3,'Monthly Data'!E:E,DashBoard!$C35)</f>
        <v>0</v>
      </c>
      <c r="U35" s="21">
        <f>SUMIFS('Monthly Data'!$M:$M,'Monthly Data'!$B:$B,$S$25,'Monthly Data'!$C:$C,DashBoard!$D$2,'Monthly Data'!$D:$D,DashBoard!$D$3,'Monthly Data'!E:E,DashBoard!$C35)</f>
        <v>0</v>
      </c>
      <c r="W35" s="3"/>
    </row>
    <row r="36" spans="3:23">
      <c r="C36" s="43" t="str">
        <v>Coffee  beans Value Blend</v>
      </c>
      <c r="D36" s="6" t="str">
        <f>_xlfn.IFNA(VLOOKUP(C36,'Monthly Data'!E:G,3,0),"0")</f>
        <v xml:space="preserve">Kg </v>
      </c>
      <c r="E36" s="6" t="str">
        <f>_xlfn.IFNA(VLOOKUP(C36,'Monthly Data'!E:H,4,0),"0")</f>
        <v>Local</v>
      </c>
      <c r="F36" s="6">
        <f>_xlfn.IFNA(VLOOKUP(C36,'Monthly Data'!E:I,5,0),"0")</f>
        <v>720</v>
      </c>
      <c r="G36" s="6">
        <f>SUMIFS('Monthly Data'!$L:$L,'Monthly Data'!$B:$B,DashBoard!G$25,'Monthly Data'!$C:$C,DashBoard!$D$2,'Monthly Data'!$D:$D,DashBoard!$D$3,'Monthly Data'!$E:$E,DashBoard!$C36)</f>
        <v>0</v>
      </c>
      <c r="H36" s="6">
        <f>SUMIFS('Monthly Data'!$N:$N,'Monthly Data'!$B:$B,DashBoard!G$25,'Monthly Data'!$C:$C,DashBoard!$D$2,'Monthly Data'!$D:$D,DashBoard!$D$3,'Monthly Data'!$E:$E,DashBoard!$C36)</f>
        <v>0</v>
      </c>
      <c r="I36" s="6">
        <f>SUMIFS('Monthly Data'!$M:$M,'Monthly Data'!$B:$B,DashBoard!G$25,'Monthly Data'!$C:$C,DashBoard!$D$2,'Monthly Data'!$D:$D,DashBoard!$D$3,'Monthly Data'!$E:$E,DashBoard!$C36)</f>
        <v>0</v>
      </c>
      <c r="J36" s="20">
        <f>SUMIFS('Monthly Data'!$O:$O,'Monthly Data'!$B:$B,DashBoard!G$25,'Monthly Data'!$C:$C,DashBoard!$D$2,'Monthly Data'!$D:$D,DashBoard!$D$3,'Monthly Data'!$E:$E,DashBoard!$C36)</f>
        <v>0</v>
      </c>
      <c r="K36" s="6">
        <f>SUMIFS('Monthly Data'!$L:$L,'Monthly Data'!$B:$B,DashBoard!K$25,'Monthly Data'!$C:$C,DashBoard!$D$2,'Monthly Data'!$D:$D,DashBoard!$D$3,'Monthly Data'!$E:$E,DashBoard!$C36)</f>
        <v>0</v>
      </c>
      <c r="L36" s="6">
        <f>SUMIFS('Monthly Data'!$N:$N,'Monthly Data'!$B:$B,DashBoard!K$25,'Monthly Data'!$C:$C,DashBoard!$D$2,'Monthly Data'!$D:$D,DashBoard!$D$3,'Monthly Data'!$E:$E,DashBoard!$C36)</f>
        <v>0</v>
      </c>
      <c r="M36" s="6">
        <f>SUMIFS('Monthly Data'!$M:$M,'Monthly Data'!$B:$B,DashBoard!K$25,'Monthly Data'!$C:$C,DashBoard!$D$2,'Monthly Data'!$D:$D,DashBoard!$D$3,'Monthly Data'!$E:$E,DashBoard!$C36)</f>
        <v>0</v>
      </c>
      <c r="N36" s="20">
        <f>SUMIFS('Monthly Data'!$O:$O,'Monthly Data'!$B:$B,DashBoard!K$25,'Monthly Data'!$C:$C,DashBoard!$D$2,'Monthly Data'!$D:$D,DashBoard!$D$3,'Monthly Data'!$E:$E,DashBoard!$C36)</f>
        <v>0</v>
      </c>
      <c r="O36" s="6">
        <f>SUMIFS('Monthly Data'!$L:$L,'Monthly Data'!$B:$B,DashBoard!O$25,'Monthly Data'!$C:$C,DashBoard!$D$2,'Monthly Data'!$D:$D,DashBoard!$D$3,'Monthly Data'!$E:$E,DashBoard!$C36)</f>
        <v>0</v>
      </c>
      <c r="P36" s="6">
        <f>SUMIFS('Monthly Data'!$N:$N,'Monthly Data'!$B:$B,DashBoard!O$25,'Monthly Data'!$C:$C,DashBoard!$D$2,'Monthly Data'!$D:$D,DashBoard!$D$3,'Monthly Data'!$E:$E,DashBoard!$C36)</f>
        <v>0</v>
      </c>
      <c r="Q36" s="6">
        <f>SUMIFS('Monthly Data'!$M:$M,'Monthly Data'!$B:$B,DashBoard!O$25,'Monthly Data'!$C:$C,DashBoard!$D$2,'Monthly Data'!$D:$D,DashBoard!$D$3,'Monthly Data'!$E:$E,DashBoard!$C36)</f>
        <v>0</v>
      </c>
      <c r="R36" s="20">
        <f>SUMIFS('Monthly Data'!$O:$O,'Monthly Data'!$B:$B,DashBoard!O$25,'Monthly Data'!$C:$C,DashBoard!$D$2,'Monthly Data'!$D:$D,DashBoard!$D$3,'Monthly Data'!$E:$E,DashBoard!$C36)</f>
        <v>0</v>
      </c>
      <c r="S36" s="6">
        <f>SUMIFS('Monthly Data'!$J:$J,'Monthly Data'!$B:$B,$S$25,'Monthly Data'!$C:$C,DashBoard!$D$2,'Monthly Data'!$D:$D,DashBoard!$D$3,'Monthly Data'!E:E,DashBoard!$C36)</f>
        <v>0</v>
      </c>
      <c r="T36" s="6">
        <f>SUMIFS('Monthly Data'!$L:$L,'Monthly Data'!$B:$B,$S$25,'Monthly Data'!$C:$C,DashBoard!$D$2,'Monthly Data'!$D:$D,DashBoard!$D$3,'Monthly Data'!E:E,DashBoard!$C36)</f>
        <v>0</v>
      </c>
      <c r="U36" s="21">
        <f>SUMIFS('Monthly Data'!$M:$M,'Monthly Data'!$B:$B,$S$25,'Monthly Data'!$C:$C,DashBoard!$D$2,'Monthly Data'!$D:$D,DashBoard!$D$3,'Monthly Data'!E:E,DashBoard!$C36)</f>
        <v>0</v>
      </c>
      <c r="W36" s="3"/>
    </row>
    <row r="37" spans="3:23">
      <c r="C37" s="43" t="str">
        <v>Flavor Tea bag  Lemon - Green</v>
      </c>
      <c r="D37" s="6" t="str">
        <f>_xlfn.IFNA(VLOOKUP(C37,'Monthly Data'!E:G,3,0),"0")</f>
        <v>Nos</v>
      </c>
      <c r="E37" s="6" t="str">
        <f>_xlfn.IFNA(VLOOKUP(C37,'Monthly Data'!E:H,4,0),"0")</f>
        <v>Local</v>
      </c>
      <c r="F37" s="6">
        <f>_xlfn.IFNA(VLOOKUP(C37,'Monthly Data'!E:I,5,0),"0")</f>
        <v>4.5</v>
      </c>
      <c r="G37" s="6">
        <f>SUMIFS('Monthly Data'!$L:$L,'Monthly Data'!$B:$B,DashBoard!G$25,'Monthly Data'!$C:$C,DashBoard!$D$2,'Monthly Data'!$D:$D,DashBoard!$D$3,'Monthly Data'!$E:$E,DashBoard!$C37)</f>
        <v>0</v>
      </c>
      <c r="H37" s="6">
        <f>SUMIFS('Monthly Data'!$N:$N,'Monthly Data'!$B:$B,DashBoard!G$25,'Monthly Data'!$C:$C,DashBoard!$D$2,'Monthly Data'!$D:$D,DashBoard!$D$3,'Monthly Data'!$E:$E,DashBoard!$C37)</f>
        <v>0</v>
      </c>
      <c r="I37" s="6">
        <f>SUMIFS('Monthly Data'!$M:$M,'Monthly Data'!$B:$B,DashBoard!G$25,'Monthly Data'!$C:$C,DashBoard!$D$2,'Monthly Data'!$D:$D,DashBoard!$D$3,'Monthly Data'!$E:$E,DashBoard!$C37)</f>
        <v>0</v>
      </c>
      <c r="J37" s="20">
        <f>SUMIFS('Monthly Data'!$O:$O,'Monthly Data'!$B:$B,DashBoard!G$25,'Monthly Data'!$C:$C,DashBoard!$D$2,'Monthly Data'!$D:$D,DashBoard!$D$3,'Monthly Data'!$E:$E,DashBoard!$C37)</f>
        <v>0</v>
      </c>
      <c r="K37" s="6">
        <f>SUMIFS('Monthly Data'!$L:$L,'Monthly Data'!$B:$B,DashBoard!K$25,'Monthly Data'!$C:$C,DashBoard!$D$2,'Monthly Data'!$D:$D,DashBoard!$D$3,'Monthly Data'!$E:$E,DashBoard!$C37)</f>
        <v>0</v>
      </c>
      <c r="L37" s="6">
        <f>SUMIFS('Monthly Data'!$N:$N,'Monthly Data'!$B:$B,DashBoard!K$25,'Monthly Data'!$C:$C,DashBoard!$D$2,'Monthly Data'!$D:$D,DashBoard!$D$3,'Monthly Data'!$E:$E,DashBoard!$C37)</f>
        <v>0</v>
      </c>
      <c r="M37" s="6">
        <f>SUMIFS('Monthly Data'!$M:$M,'Monthly Data'!$B:$B,DashBoard!K$25,'Monthly Data'!$C:$C,DashBoard!$D$2,'Monthly Data'!$D:$D,DashBoard!$D$3,'Monthly Data'!$E:$E,DashBoard!$C37)</f>
        <v>0</v>
      </c>
      <c r="N37" s="20">
        <f>SUMIFS('Monthly Data'!$O:$O,'Monthly Data'!$B:$B,DashBoard!K$25,'Monthly Data'!$C:$C,DashBoard!$D$2,'Monthly Data'!$D:$D,DashBoard!$D$3,'Monthly Data'!$E:$E,DashBoard!$C37)</f>
        <v>0</v>
      </c>
      <c r="O37" s="6">
        <f>SUMIFS('Monthly Data'!$L:$L,'Monthly Data'!$B:$B,DashBoard!O$25,'Monthly Data'!$C:$C,DashBoard!$D$2,'Monthly Data'!$D:$D,DashBoard!$D$3,'Monthly Data'!$E:$E,DashBoard!$C37)</f>
        <v>0</v>
      </c>
      <c r="P37" s="6">
        <f>SUMIFS('Monthly Data'!$N:$N,'Monthly Data'!$B:$B,DashBoard!O$25,'Monthly Data'!$C:$C,DashBoard!$D$2,'Monthly Data'!$D:$D,DashBoard!$D$3,'Monthly Data'!$E:$E,DashBoard!$C37)</f>
        <v>0</v>
      </c>
      <c r="Q37" s="6">
        <f>SUMIFS('Monthly Data'!$M:$M,'Monthly Data'!$B:$B,DashBoard!O$25,'Monthly Data'!$C:$C,DashBoard!$D$2,'Monthly Data'!$D:$D,DashBoard!$D$3,'Monthly Data'!$E:$E,DashBoard!$C37)</f>
        <v>0</v>
      </c>
      <c r="R37" s="20">
        <f>SUMIFS('Monthly Data'!$O:$O,'Monthly Data'!$B:$B,DashBoard!O$25,'Monthly Data'!$C:$C,DashBoard!$D$2,'Monthly Data'!$D:$D,DashBoard!$D$3,'Monthly Data'!$E:$E,DashBoard!$C37)</f>
        <v>0</v>
      </c>
      <c r="S37" s="6">
        <f>SUMIFS('Monthly Data'!$J:$J,'Monthly Data'!$B:$B,$S$25,'Monthly Data'!$C:$C,DashBoard!$D$2,'Monthly Data'!$D:$D,DashBoard!$D$3,'Monthly Data'!E:E,DashBoard!$C37)</f>
        <v>0</v>
      </c>
      <c r="T37" s="6">
        <f>SUMIFS('Monthly Data'!$L:$L,'Monthly Data'!$B:$B,$S$25,'Monthly Data'!$C:$C,DashBoard!$D$2,'Monthly Data'!$D:$D,DashBoard!$D$3,'Monthly Data'!E:E,DashBoard!$C37)</f>
        <v>0</v>
      </c>
      <c r="U37" s="21">
        <f>SUMIFS('Monthly Data'!$M:$M,'Monthly Data'!$B:$B,$S$25,'Monthly Data'!$C:$C,DashBoard!$D$2,'Monthly Data'!$D:$D,DashBoard!$D$3,'Monthly Data'!E:E,DashBoard!$C37)</f>
        <v>0</v>
      </c>
    </row>
    <row r="38" spans="3:23">
      <c r="C38" s="43">
        <v>0</v>
      </c>
      <c r="D38" s="6" t="str">
        <f>_xlfn.IFNA(VLOOKUP(C38,'Monthly Data'!E:G,3,0),"0")</f>
        <v>0</v>
      </c>
      <c r="E38" s="6" t="str">
        <f>_xlfn.IFNA(VLOOKUP(C38,'Monthly Data'!E:H,4,0),"0")</f>
        <v>0</v>
      </c>
      <c r="F38" s="6" t="str">
        <f>_xlfn.IFNA(VLOOKUP(C38,'Monthly Data'!E:I,5,0),"0")</f>
        <v>0</v>
      </c>
      <c r="G38" s="6">
        <f>SUMIFS('Monthly Data'!$L:$L,'Monthly Data'!$B:$B,DashBoard!G$25,'Monthly Data'!$C:$C,DashBoard!$D$2,'Monthly Data'!$D:$D,DashBoard!$D$3,'Monthly Data'!$E:$E,DashBoard!$C38)</f>
        <v>0</v>
      </c>
      <c r="H38" s="6">
        <f>SUMIFS('Monthly Data'!$N:$N,'Monthly Data'!$B:$B,DashBoard!G$25,'Monthly Data'!$C:$C,DashBoard!$D$2,'Monthly Data'!$D:$D,DashBoard!$D$3,'Monthly Data'!$E:$E,DashBoard!$C38)</f>
        <v>0</v>
      </c>
      <c r="I38" s="6">
        <f>SUMIFS('Monthly Data'!$M:$M,'Monthly Data'!$B:$B,DashBoard!G$25,'Monthly Data'!$C:$C,DashBoard!$D$2,'Monthly Data'!$D:$D,DashBoard!$D$3,'Monthly Data'!$E:$E,DashBoard!$C38)</f>
        <v>0</v>
      </c>
      <c r="J38" s="20">
        <f>SUMIFS('Monthly Data'!$O:$O,'Monthly Data'!$B:$B,DashBoard!G$25,'Monthly Data'!$C:$C,DashBoard!$D$2,'Monthly Data'!$D:$D,DashBoard!$D$3,'Monthly Data'!$E:$E,DashBoard!$C38)</f>
        <v>0</v>
      </c>
      <c r="K38" s="6">
        <f>SUMIFS('Monthly Data'!$L:$L,'Monthly Data'!$B:$B,DashBoard!K$25,'Monthly Data'!$C:$C,DashBoard!$D$2,'Monthly Data'!$D:$D,DashBoard!$D$3,'Monthly Data'!$E:$E,DashBoard!$C38)</f>
        <v>0</v>
      </c>
      <c r="L38" s="6">
        <f>SUMIFS('Monthly Data'!$N:$N,'Monthly Data'!$B:$B,DashBoard!K$25,'Monthly Data'!$C:$C,DashBoard!$D$2,'Monthly Data'!$D:$D,DashBoard!$D$3,'Monthly Data'!$E:$E,DashBoard!$C38)</f>
        <v>0</v>
      </c>
      <c r="M38" s="6">
        <f>SUMIFS('Monthly Data'!$M:$M,'Monthly Data'!$B:$B,DashBoard!K$25,'Monthly Data'!$C:$C,DashBoard!$D$2,'Monthly Data'!$D:$D,DashBoard!$D$3,'Monthly Data'!$E:$E,DashBoard!$C38)</f>
        <v>0</v>
      </c>
      <c r="N38" s="20">
        <f>SUMIFS('Monthly Data'!$O:$O,'Monthly Data'!$B:$B,DashBoard!K$25,'Monthly Data'!$C:$C,DashBoard!$D$2,'Monthly Data'!$D:$D,DashBoard!$D$3,'Monthly Data'!$E:$E,DashBoard!$C38)</f>
        <v>0</v>
      </c>
      <c r="O38" s="6">
        <f>SUMIFS('Monthly Data'!$L:$L,'Monthly Data'!$B:$B,DashBoard!O$25,'Monthly Data'!$C:$C,DashBoard!$D$2,'Monthly Data'!$D:$D,DashBoard!$D$3,'Monthly Data'!$E:$E,DashBoard!$C38)</f>
        <v>0</v>
      </c>
      <c r="P38" s="6">
        <f>SUMIFS('Monthly Data'!$N:$N,'Monthly Data'!$B:$B,DashBoard!O$25,'Monthly Data'!$C:$C,DashBoard!$D$2,'Monthly Data'!$D:$D,DashBoard!$D$3,'Monthly Data'!$E:$E,DashBoard!$C38)</f>
        <v>0</v>
      </c>
      <c r="Q38" s="6">
        <f>SUMIFS('Monthly Data'!$M:$M,'Monthly Data'!$B:$B,DashBoard!O$25,'Monthly Data'!$C:$C,DashBoard!$D$2,'Monthly Data'!$D:$D,DashBoard!$D$3,'Monthly Data'!$E:$E,DashBoard!$C38)</f>
        <v>0</v>
      </c>
      <c r="R38" s="20">
        <f>SUMIFS('Monthly Data'!$O:$O,'Monthly Data'!$B:$B,DashBoard!O$25,'Monthly Data'!$C:$C,DashBoard!$D$2,'Monthly Data'!$D:$D,DashBoard!$D$3,'Monthly Data'!$E:$E,DashBoard!$C38)</f>
        <v>0</v>
      </c>
      <c r="S38" s="6">
        <f>SUMIFS('Monthly Data'!$J:$J,'Monthly Data'!$B:$B,$S$25,'Monthly Data'!$C:$C,DashBoard!$D$2,'Monthly Data'!$D:$D,DashBoard!$D$3,'Monthly Data'!E:E,DashBoard!$C38)</f>
        <v>0</v>
      </c>
      <c r="T38" s="6">
        <f>SUMIFS('Monthly Data'!$L:$L,'Monthly Data'!$B:$B,$S$25,'Monthly Data'!$C:$C,DashBoard!$D$2,'Monthly Data'!$D:$D,DashBoard!$D$3,'Monthly Data'!E:E,DashBoard!$C38)</f>
        <v>0</v>
      </c>
      <c r="U38" s="21">
        <f>SUMIFS('Monthly Data'!$M:$M,'Monthly Data'!$B:$B,$S$25,'Monthly Data'!$C:$C,DashBoard!$D$2,'Monthly Data'!$D:$D,DashBoard!$D$3,'Monthly Data'!E:E,DashBoard!$C38)</f>
        <v>0</v>
      </c>
    </row>
    <row r="39" spans="3:23" ht="15.75" thickBot="1">
      <c r="C39" s="39" t="s">
        <v>33</v>
      </c>
      <c r="D39" s="10"/>
      <c r="E39" s="10"/>
      <c r="F39" s="10"/>
      <c r="G39" s="17">
        <f>SUM(G26:G38)</f>
        <v>0</v>
      </c>
      <c r="H39" s="17">
        <f t="shared" ref="H39:U39" si="4">SUM(H26:H38)</f>
        <v>0</v>
      </c>
      <c r="I39" s="17">
        <f t="shared" si="4"/>
        <v>0</v>
      </c>
      <c r="J39" s="17">
        <f t="shared" si="4"/>
        <v>0</v>
      </c>
      <c r="K39" s="17">
        <f t="shared" si="4"/>
        <v>0</v>
      </c>
      <c r="L39" s="17">
        <f t="shared" si="4"/>
        <v>0</v>
      </c>
      <c r="M39" s="17">
        <f t="shared" si="4"/>
        <v>0</v>
      </c>
      <c r="N39" s="17">
        <f t="shared" si="4"/>
        <v>0</v>
      </c>
      <c r="O39" s="17">
        <f t="shared" si="4"/>
        <v>0</v>
      </c>
      <c r="P39" s="17">
        <f t="shared" si="4"/>
        <v>0</v>
      </c>
      <c r="Q39" s="17">
        <f t="shared" si="4"/>
        <v>0</v>
      </c>
      <c r="R39" s="17">
        <f t="shared" si="4"/>
        <v>0</v>
      </c>
      <c r="S39" s="17">
        <f t="shared" si="4"/>
        <v>0</v>
      </c>
      <c r="T39" s="17">
        <f t="shared" si="4"/>
        <v>0</v>
      </c>
      <c r="U39" s="19">
        <f t="shared" si="4"/>
        <v>0</v>
      </c>
    </row>
    <row r="40" spans="3:23"/>
    <row r="41" spans="3:23"/>
    <row r="42" spans="3:23" ht="15.75" thickBot="1"/>
    <row r="43" spans="3:23" ht="15.75" thickBot="1">
      <c r="C43" s="40" t="s">
        <v>27</v>
      </c>
      <c r="D43" s="22">
        <v>45292</v>
      </c>
      <c r="E43" s="22">
        <f t="shared" ref="E43:O43" si="5">DATE(YEAR(D43),MONTH(D43)+1,DAY(D43))</f>
        <v>45323</v>
      </c>
      <c r="F43" s="22">
        <f t="shared" si="5"/>
        <v>45352</v>
      </c>
      <c r="G43" s="22">
        <f t="shared" si="5"/>
        <v>45383</v>
      </c>
      <c r="H43" s="22">
        <f t="shared" si="5"/>
        <v>45413</v>
      </c>
      <c r="I43" s="22">
        <f t="shared" si="5"/>
        <v>45444</v>
      </c>
      <c r="J43" s="22">
        <f t="shared" si="5"/>
        <v>45474</v>
      </c>
      <c r="K43" s="22">
        <f t="shared" si="5"/>
        <v>45505</v>
      </c>
      <c r="L43" s="22">
        <f t="shared" si="5"/>
        <v>45536</v>
      </c>
      <c r="M43" s="22">
        <f t="shared" si="5"/>
        <v>45566</v>
      </c>
      <c r="N43" s="22">
        <f t="shared" si="5"/>
        <v>45597</v>
      </c>
      <c r="O43" s="22">
        <f t="shared" si="5"/>
        <v>45627</v>
      </c>
    </row>
    <row r="44" spans="3:23" ht="15.75" thickBot="1">
      <c r="C44" s="41" t="s">
        <v>15</v>
      </c>
      <c r="D44" s="33">
        <f>SUMIFS('Monthly Data'!$M:$M,'Monthly Data'!$B:$B,DashBoard!D$43,'Monthly Data'!$D:$D,DashBoard!$C44)</f>
        <v>0</v>
      </c>
      <c r="E44" s="33">
        <f>SUMIFS('Monthly Data'!$M:$M,'Monthly Data'!$B:$B,DashBoard!E$43,'Monthly Data'!$D:$D,DashBoard!$C44)</f>
        <v>0</v>
      </c>
      <c r="F44" s="33">
        <f>SUMIFS('Monthly Data'!$M:$M,'Monthly Data'!$B:$B,DashBoard!F$43,'Monthly Data'!$D:$D,DashBoard!$C44)</f>
        <v>0</v>
      </c>
      <c r="G44" s="33">
        <f>SUMIFS('Monthly Data'!$M:$M,'Monthly Data'!$B:$B,DashBoard!G$43,'Monthly Data'!$D:$D,DashBoard!$C44)</f>
        <v>19662.599999999999</v>
      </c>
      <c r="H44" s="33">
        <f>SUMIFS('Monthly Data'!$M:$M,'Monthly Data'!$B:$B,DashBoard!H$43,'Monthly Data'!$D:$D,DashBoard!$C44)</f>
        <v>39698.959999999999</v>
      </c>
      <c r="I44" s="33">
        <f>SUMIFS('Monthly Data'!$M:$M,'Monthly Data'!$B:$B,DashBoard!I$43,'Monthly Data'!$D:$D,DashBoard!$C44)</f>
        <v>12961</v>
      </c>
      <c r="J44" s="33">
        <f>SUMIFS('Monthly Data'!$M:$M,'Monthly Data'!$B:$B,DashBoard!J$43,'Monthly Data'!$D:$D,DashBoard!$C44)</f>
        <v>34093.4</v>
      </c>
      <c r="K44" s="33">
        <f>SUMIFS('Monthly Data'!$M:$M,'Monthly Data'!$B:$B,DashBoard!K$43,'Monthly Data'!$D:$D,DashBoard!$C44)</f>
        <v>0</v>
      </c>
      <c r="L44" s="33">
        <f>SUMIFS('Monthly Data'!$M:$M,'Monthly Data'!$B:$B,DashBoard!L$43,'Monthly Data'!$D:$D,DashBoard!$C44)</f>
        <v>0</v>
      </c>
      <c r="M44" s="33">
        <f>SUMIFS('Monthly Data'!$M:$M,'Monthly Data'!$B:$B,DashBoard!M$43,'Monthly Data'!$D:$D,DashBoard!$C44)</f>
        <v>0</v>
      </c>
      <c r="N44" s="33">
        <f>SUMIFS('Monthly Data'!$M:$M,'Monthly Data'!$B:$B,DashBoard!N$43,'Monthly Data'!$D:$D,DashBoard!$C44)</f>
        <v>0</v>
      </c>
      <c r="O44" s="33">
        <f>SUMIFS('Monthly Data'!$M:$M,'Monthly Data'!$B:$B,DashBoard!O$43,'Monthly Data'!$D:$D,DashBoard!$C44)</f>
        <v>0</v>
      </c>
    </row>
    <row r="45" spans="3:23" ht="15.75" thickBot="1">
      <c r="C45" s="42" t="s">
        <v>40</v>
      </c>
      <c r="D45" s="33">
        <f>SUMIFS('Monthly Data'!$M:$M,'Monthly Data'!$B:$B,DashBoard!D$43,'Monthly Data'!$D:$D,DashBoard!$C45)</f>
        <v>0</v>
      </c>
      <c r="E45" s="33">
        <f>SUMIFS('Monthly Data'!$M:$M,'Monthly Data'!$B:$B,DashBoard!E$43,'Monthly Data'!$D:$D,DashBoard!$C45)</f>
        <v>0</v>
      </c>
      <c r="F45" s="33">
        <f>SUMIFS('Monthly Data'!$M:$M,'Monthly Data'!$B:$B,DashBoard!F$43,'Monthly Data'!$D:$D,DashBoard!$C45)</f>
        <v>0</v>
      </c>
      <c r="G45" s="33">
        <f>SUMIFS('Monthly Data'!$M:$M,'Monthly Data'!$B:$B,DashBoard!G$43,'Monthly Data'!$D:$D,DashBoard!$C45)</f>
        <v>41600</v>
      </c>
      <c r="H45" s="33">
        <f>SUMIFS('Monthly Data'!$M:$M,'Monthly Data'!$B:$B,DashBoard!H$43,'Monthly Data'!$D:$D,DashBoard!$C45)</f>
        <v>48000</v>
      </c>
      <c r="I45" s="33">
        <f>SUMIFS('Monthly Data'!$M:$M,'Monthly Data'!$B:$B,DashBoard!I$43,'Monthly Data'!$D:$D,DashBoard!$C45)</f>
        <v>57600</v>
      </c>
      <c r="J45" s="33">
        <f>SUMIFS('Monthly Data'!$M:$M,'Monthly Data'!$B:$B,DashBoard!J$43,'Monthly Data'!$D:$D,DashBoard!$C45)</f>
        <v>113600</v>
      </c>
      <c r="K45" s="33">
        <f>SUMIFS('Monthly Data'!$M:$M,'Monthly Data'!$B:$B,DashBoard!K$43,'Monthly Data'!$D:$D,DashBoard!$C45)</f>
        <v>0</v>
      </c>
      <c r="L45" s="33">
        <f>SUMIFS('Monthly Data'!$M:$M,'Monthly Data'!$B:$B,DashBoard!L$43,'Monthly Data'!$D:$D,DashBoard!$C45)</f>
        <v>0</v>
      </c>
      <c r="M45" s="33">
        <f>SUMIFS('Monthly Data'!$M:$M,'Monthly Data'!$B:$B,DashBoard!M$43,'Monthly Data'!$D:$D,DashBoard!$C45)</f>
        <v>0</v>
      </c>
      <c r="N45" s="33">
        <f>SUMIFS('Monthly Data'!$M:$M,'Monthly Data'!$B:$B,DashBoard!N$43,'Monthly Data'!$D:$D,DashBoard!$C45)</f>
        <v>0</v>
      </c>
      <c r="O45" s="33">
        <f>SUMIFS('Monthly Data'!$M:$M,'Monthly Data'!$B:$B,DashBoard!O$43,'Monthly Data'!$D:$D,DashBoard!$C45)</f>
        <v>0</v>
      </c>
    </row>
    <row r="46" spans="3:23"/>
    <row r="47" spans="3:23"/>
    <row r="48" spans="3:23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</sheetData>
  <mergeCells count="12">
    <mergeCell ref="D7:D8"/>
    <mergeCell ref="D2:Z2"/>
    <mergeCell ref="D3:Z3"/>
    <mergeCell ref="D4:Z4"/>
    <mergeCell ref="B9:B21"/>
    <mergeCell ref="D6:G6"/>
    <mergeCell ref="AK7:AK8"/>
    <mergeCell ref="O25:R25"/>
    <mergeCell ref="K25:N25"/>
    <mergeCell ref="G25:J25"/>
    <mergeCell ref="S25:U25"/>
    <mergeCell ref="AJ7:AJ8"/>
  </mergeCells>
  <conditionalFormatting sqref="E9:AI21">
    <cfRule type="cellIs" dxfId="0" priority="1" operator="greaterThan">
      <formula>0.1</formula>
    </cfRule>
  </conditionalFormatting>
  <pageMargins left="0" right="0" top="0" bottom="0" header="0" footer="0"/>
  <pageSetup paperSize="9" scale="4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9B23F4B-5031-4486-A811-ADD6AB55F01F}">
          <x14:formula1>
            <xm:f>Validation!$F$2:$F$1048576</xm:f>
          </x14:formula1>
          <xm:sqref>D4</xm:sqref>
        </x14:dataValidation>
        <x14:dataValidation type="list" allowBlank="1" showInputMessage="1" showErrorMessage="1" xr:uid="{433724DF-F0C5-412B-92E8-8FA9126ABCD9}">
          <x14:formula1>
            <xm:f>Validation!$A$2:$A$49</xm:f>
          </x14:formula1>
          <xm:sqref>D3</xm:sqref>
        </x14:dataValidation>
        <x14:dataValidation type="list" allowBlank="1" showInputMessage="1" showErrorMessage="1" xr:uid="{9D289DC5-5FE0-4A0F-8BFA-F1862CF74269}">
          <x14:formula1>
            <xm:f>Validation!$B$2:$B$160</xm:f>
          </x14:formula1>
          <xm:sqref>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Q74"/>
  <sheetViews>
    <sheetView workbookViewId="0">
      <pane xSplit="9" ySplit="1" topLeftCell="J2" activePane="bottomRight" state="frozen"/>
      <selection pane="topRight" activeCell="I1" sqref="I1"/>
      <selection pane="bottomLeft" activeCell="A2" sqref="A2"/>
      <selection pane="bottomRight" activeCell="C27" sqref="C27"/>
    </sheetView>
  </sheetViews>
  <sheetFormatPr defaultRowHeight="15"/>
  <cols>
    <col min="1" max="1" width="2.7109375" bestFit="1" customWidth="1"/>
    <col min="2" max="2" width="10.42578125" bestFit="1" customWidth="1"/>
    <col min="3" max="3" width="23.7109375" bestFit="1" customWidth="1"/>
    <col min="4" max="4" width="19.5703125" bestFit="1" customWidth="1"/>
    <col min="5" max="5" width="33.140625" bestFit="1" customWidth="1"/>
    <col min="6" max="6" width="9" bestFit="1" customWidth="1"/>
    <col min="7" max="7" width="6.5703125" bestFit="1" customWidth="1"/>
    <col min="9" max="9" width="6" bestFit="1" customWidth="1"/>
    <col min="10" max="10" width="12.85546875" bestFit="1" customWidth="1"/>
    <col min="11" max="11" width="13.42578125" bestFit="1" customWidth="1"/>
    <col min="12" max="12" width="10.42578125" bestFit="1" customWidth="1"/>
    <col min="13" max="13" width="10.28515625" bestFit="1" customWidth="1"/>
    <col min="14" max="14" width="10.7109375" bestFit="1" customWidth="1"/>
    <col min="15" max="15" width="10.5703125" bestFit="1" customWidth="1"/>
    <col min="17" max="17" width="5.85546875" bestFit="1" customWidth="1"/>
  </cols>
  <sheetData>
    <row r="1" spans="1:17" s="3" customFormat="1" ht="24.75" customHeight="1">
      <c r="A1" s="56" t="s">
        <v>24</v>
      </c>
      <c r="B1" s="56" t="s">
        <v>16</v>
      </c>
      <c r="C1" s="56" t="s">
        <v>25</v>
      </c>
      <c r="D1" s="56" t="s">
        <v>5</v>
      </c>
      <c r="E1" s="56" t="s">
        <v>28</v>
      </c>
      <c r="F1" s="56" t="s">
        <v>1</v>
      </c>
      <c r="G1" s="56" t="s">
        <v>2</v>
      </c>
      <c r="H1" s="56" t="s">
        <v>3</v>
      </c>
      <c r="I1" s="56" t="s">
        <v>4</v>
      </c>
      <c r="J1" s="56" t="s">
        <v>19</v>
      </c>
      <c r="K1" s="56" t="s">
        <v>20</v>
      </c>
      <c r="L1" s="56" t="s">
        <v>21</v>
      </c>
      <c r="M1" s="56" t="s">
        <v>22</v>
      </c>
      <c r="N1" s="56" t="s">
        <v>17</v>
      </c>
      <c r="O1" s="56" t="s">
        <v>18</v>
      </c>
      <c r="P1" s="57"/>
      <c r="Q1" s="56" t="s">
        <v>23</v>
      </c>
    </row>
    <row r="2" spans="1:17">
      <c r="A2">
        <v>1</v>
      </c>
      <c r="B2" s="1">
        <v>45383</v>
      </c>
      <c r="C2" t="s">
        <v>54</v>
      </c>
      <c r="D2" t="s">
        <v>15</v>
      </c>
      <c r="E2" t="s">
        <v>6</v>
      </c>
      <c r="F2">
        <v>902</v>
      </c>
      <c r="G2" t="s">
        <v>10</v>
      </c>
      <c r="H2" t="s">
        <v>11</v>
      </c>
      <c r="I2">
        <v>700</v>
      </c>
      <c r="J2">
        <v>4</v>
      </c>
      <c r="K2">
        <f>J2*I2</f>
        <v>2800</v>
      </c>
      <c r="L2">
        <v>3</v>
      </c>
      <c r="M2">
        <f>L2*I2</f>
        <v>2100</v>
      </c>
      <c r="N2">
        <v>7</v>
      </c>
      <c r="O2">
        <f t="shared" ref="O2:O14" si="0">N2*I2</f>
        <v>4900</v>
      </c>
      <c r="Q2" t="str">
        <f t="shared" ref="Q2:Q65" si="1">TEXT(B2,"MMM")</f>
        <v>Apr</v>
      </c>
    </row>
    <row r="3" spans="1:17">
      <c r="A3">
        <v>2</v>
      </c>
      <c r="B3" s="1">
        <v>45383</v>
      </c>
      <c r="C3" t="s">
        <v>54</v>
      </c>
      <c r="D3" t="s">
        <v>15</v>
      </c>
      <c r="E3" t="s">
        <v>7</v>
      </c>
      <c r="F3">
        <v>1701</v>
      </c>
      <c r="G3" t="s">
        <v>10</v>
      </c>
      <c r="H3" t="s">
        <v>11</v>
      </c>
      <c r="I3">
        <v>120</v>
      </c>
      <c r="J3">
        <v>8</v>
      </c>
      <c r="K3">
        <f t="shared" ref="K3:K18" si="2">J3*I3</f>
        <v>960</v>
      </c>
      <c r="L3">
        <v>0</v>
      </c>
      <c r="M3">
        <f t="shared" ref="M3:M18" si="3">L3*I3</f>
        <v>0</v>
      </c>
      <c r="N3">
        <v>6</v>
      </c>
      <c r="O3">
        <f t="shared" si="0"/>
        <v>720</v>
      </c>
      <c r="Q3" t="str">
        <f t="shared" si="1"/>
        <v>Apr</v>
      </c>
    </row>
    <row r="4" spans="1:17">
      <c r="A4">
        <v>3</v>
      </c>
      <c r="B4" s="1">
        <v>45383</v>
      </c>
      <c r="C4" t="s">
        <v>54</v>
      </c>
      <c r="D4" t="s">
        <v>15</v>
      </c>
      <c r="E4" t="s">
        <v>8</v>
      </c>
      <c r="F4">
        <v>4421</v>
      </c>
      <c r="G4" t="s">
        <v>12</v>
      </c>
      <c r="H4" t="s">
        <v>11</v>
      </c>
      <c r="I4">
        <v>0.25</v>
      </c>
      <c r="J4">
        <v>500</v>
      </c>
      <c r="K4">
        <f t="shared" si="2"/>
        <v>125</v>
      </c>
      <c r="L4">
        <v>500</v>
      </c>
      <c r="M4">
        <f t="shared" si="3"/>
        <v>125</v>
      </c>
      <c r="N4">
        <v>500</v>
      </c>
      <c r="O4">
        <f t="shared" si="0"/>
        <v>125</v>
      </c>
      <c r="Q4" t="str">
        <f t="shared" si="1"/>
        <v>Apr</v>
      </c>
    </row>
    <row r="5" spans="1:17">
      <c r="A5">
        <v>4</v>
      </c>
      <c r="B5" s="1">
        <v>45383</v>
      </c>
      <c r="C5" t="s">
        <v>54</v>
      </c>
      <c r="D5" t="s">
        <v>15</v>
      </c>
      <c r="E5" t="s">
        <v>9</v>
      </c>
      <c r="F5">
        <v>401</v>
      </c>
      <c r="G5" t="s">
        <v>13</v>
      </c>
      <c r="H5" t="s">
        <v>14</v>
      </c>
      <c r="I5">
        <v>69.52</v>
      </c>
      <c r="J5">
        <v>40</v>
      </c>
      <c r="K5">
        <f t="shared" si="2"/>
        <v>2780.7999999999997</v>
      </c>
      <c r="L5">
        <v>30</v>
      </c>
      <c r="M5">
        <f t="shared" si="3"/>
        <v>2085.6</v>
      </c>
      <c r="N5">
        <v>37</v>
      </c>
      <c r="O5">
        <f t="shared" si="0"/>
        <v>2572.2399999999998</v>
      </c>
      <c r="Q5" t="str">
        <f t="shared" si="1"/>
        <v>Apr</v>
      </c>
    </row>
    <row r="6" spans="1:17">
      <c r="A6">
        <v>5</v>
      </c>
      <c r="B6" s="1">
        <v>45413</v>
      </c>
      <c r="C6" t="s">
        <v>54</v>
      </c>
      <c r="D6" t="s">
        <v>15</v>
      </c>
      <c r="E6" t="s">
        <v>6</v>
      </c>
      <c r="F6">
        <v>902</v>
      </c>
      <c r="G6" t="s">
        <v>10</v>
      </c>
      <c r="H6" t="s">
        <v>11</v>
      </c>
      <c r="I6">
        <v>700</v>
      </c>
      <c r="J6">
        <v>0</v>
      </c>
      <c r="K6">
        <f t="shared" si="2"/>
        <v>0</v>
      </c>
      <c r="L6">
        <v>12</v>
      </c>
      <c r="M6">
        <f t="shared" si="3"/>
        <v>8400</v>
      </c>
      <c r="N6">
        <v>10</v>
      </c>
      <c r="O6">
        <f t="shared" si="0"/>
        <v>7000</v>
      </c>
      <c r="Q6" t="str">
        <f t="shared" si="1"/>
        <v>May</v>
      </c>
    </row>
    <row r="7" spans="1:17">
      <c r="A7">
        <v>6</v>
      </c>
      <c r="B7" s="1">
        <v>45413</v>
      </c>
      <c r="C7" t="s">
        <v>54</v>
      </c>
      <c r="D7" t="s">
        <v>15</v>
      </c>
      <c r="E7" t="s">
        <v>7</v>
      </c>
      <c r="F7">
        <v>1701</v>
      </c>
      <c r="G7" t="s">
        <v>10</v>
      </c>
      <c r="H7" t="s">
        <v>11</v>
      </c>
      <c r="I7">
        <v>120</v>
      </c>
      <c r="J7">
        <v>2</v>
      </c>
      <c r="K7">
        <f t="shared" si="2"/>
        <v>240</v>
      </c>
      <c r="L7">
        <v>10</v>
      </c>
      <c r="M7">
        <f t="shared" si="3"/>
        <v>1200</v>
      </c>
      <c r="N7">
        <v>9</v>
      </c>
      <c r="O7">
        <f t="shared" si="0"/>
        <v>1080</v>
      </c>
      <c r="Q7" t="str">
        <f t="shared" si="1"/>
        <v>May</v>
      </c>
    </row>
    <row r="8" spans="1:17">
      <c r="A8">
        <v>7</v>
      </c>
      <c r="B8" s="1">
        <v>45413</v>
      </c>
      <c r="C8" t="s">
        <v>54</v>
      </c>
      <c r="D8" t="s">
        <v>15</v>
      </c>
      <c r="E8" t="s">
        <v>8</v>
      </c>
      <c r="F8">
        <v>4421</v>
      </c>
      <c r="G8" t="s">
        <v>12</v>
      </c>
      <c r="H8" t="s">
        <v>11</v>
      </c>
      <c r="I8">
        <v>0.25</v>
      </c>
      <c r="J8">
        <v>500</v>
      </c>
      <c r="K8">
        <f t="shared" si="2"/>
        <v>125</v>
      </c>
      <c r="L8">
        <v>1000</v>
      </c>
      <c r="M8">
        <f t="shared" si="3"/>
        <v>250</v>
      </c>
      <c r="N8">
        <v>1000</v>
      </c>
      <c r="O8">
        <f t="shared" si="0"/>
        <v>250</v>
      </c>
      <c r="Q8" t="str">
        <f t="shared" si="1"/>
        <v>May</v>
      </c>
    </row>
    <row r="9" spans="1:17">
      <c r="A9">
        <v>8</v>
      </c>
      <c r="B9" s="1">
        <v>45413</v>
      </c>
      <c r="C9" t="s">
        <v>54</v>
      </c>
      <c r="D9" t="s">
        <v>15</v>
      </c>
      <c r="E9" t="s">
        <v>9</v>
      </c>
      <c r="F9">
        <v>401</v>
      </c>
      <c r="G9" t="s">
        <v>13</v>
      </c>
      <c r="H9" t="s">
        <v>14</v>
      </c>
      <c r="I9">
        <v>69.52</v>
      </c>
      <c r="J9">
        <v>27</v>
      </c>
      <c r="K9">
        <f t="shared" si="2"/>
        <v>1877.04</v>
      </c>
      <c r="L9">
        <v>40</v>
      </c>
      <c r="M9">
        <f t="shared" si="3"/>
        <v>2780.7999999999997</v>
      </c>
      <c r="N9">
        <v>52</v>
      </c>
      <c r="O9">
        <f t="shared" si="0"/>
        <v>3615.04</v>
      </c>
      <c r="Q9" t="str">
        <f t="shared" si="1"/>
        <v>May</v>
      </c>
    </row>
    <row r="10" spans="1:17">
      <c r="A10">
        <v>9</v>
      </c>
      <c r="B10" s="1">
        <v>45413</v>
      </c>
      <c r="C10" t="s">
        <v>54</v>
      </c>
      <c r="D10" t="s">
        <v>15</v>
      </c>
      <c r="E10" t="s">
        <v>9</v>
      </c>
      <c r="F10">
        <v>401</v>
      </c>
      <c r="G10" t="s">
        <v>13</v>
      </c>
      <c r="H10" t="s">
        <v>14</v>
      </c>
      <c r="I10">
        <v>67.599999999999994</v>
      </c>
      <c r="J10">
        <v>0</v>
      </c>
      <c r="K10">
        <f t="shared" si="2"/>
        <v>0</v>
      </c>
      <c r="L10">
        <v>0</v>
      </c>
      <c r="M10">
        <f t="shared" si="3"/>
        <v>0</v>
      </c>
      <c r="N10">
        <v>0</v>
      </c>
      <c r="O10">
        <f t="shared" si="0"/>
        <v>0</v>
      </c>
      <c r="Q10" t="str">
        <f t="shared" si="1"/>
        <v>May</v>
      </c>
    </row>
    <row r="11" spans="1:17">
      <c r="A11">
        <v>10</v>
      </c>
      <c r="B11" s="1">
        <v>45444</v>
      </c>
      <c r="C11" t="s">
        <v>54</v>
      </c>
      <c r="D11" t="s">
        <v>15</v>
      </c>
      <c r="E11" t="s">
        <v>6</v>
      </c>
      <c r="F11">
        <v>902</v>
      </c>
      <c r="G11" t="s">
        <v>10</v>
      </c>
      <c r="H11" t="s">
        <v>11</v>
      </c>
      <c r="I11">
        <v>700</v>
      </c>
      <c r="J11">
        <v>2</v>
      </c>
      <c r="K11">
        <f t="shared" si="2"/>
        <v>1400</v>
      </c>
      <c r="L11">
        <v>12</v>
      </c>
      <c r="M11">
        <f t="shared" si="3"/>
        <v>8400</v>
      </c>
      <c r="N11">
        <v>10</v>
      </c>
      <c r="O11">
        <f t="shared" si="0"/>
        <v>7000</v>
      </c>
      <c r="Q11" t="str">
        <f t="shared" si="1"/>
        <v>Jun</v>
      </c>
    </row>
    <row r="12" spans="1:17">
      <c r="A12">
        <v>11</v>
      </c>
      <c r="B12" s="1">
        <v>45444</v>
      </c>
      <c r="C12" t="s">
        <v>54</v>
      </c>
      <c r="D12" t="s">
        <v>15</v>
      </c>
      <c r="E12" t="s">
        <v>7</v>
      </c>
      <c r="F12">
        <v>1701</v>
      </c>
      <c r="G12" t="s">
        <v>10</v>
      </c>
      <c r="H12" t="s">
        <v>11</v>
      </c>
      <c r="I12">
        <v>120</v>
      </c>
      <c r="J12">
        <v>3</v>
      </c>
      <c r="K12">
        <f t="shared" si="2"/>
        <v>360</v>
      </c>
      <c r="L12">
        <v>8</v>
      </c>
      <c r="M12">
        <f t="shared" si="3"/>
        <v>960</v>
      </c>
      <c r="N12">
        <v>9</v>
      </c>
      <c r="O12">
        <f t="shared" si="0"/>
        <v>1080</v>
      </c>
      <c r="Q12" t="str">
        <f t="shared" si="1"/>
        <v>Jun</v>
      </c>
    </row>
    <row r="13" spans="1:17">
      <c r="A13">
        <v>12</v>
      </c>
      <c r="B13" s="1">
        <v>45444</v>
      </c>
      <c r="C13" t="s">
        <v>54</v>
      </c>
      <c r="D13" t="s">
        <v>15</v>
      </c>
      <c r="E13" t="s">
        <v>8</v>
      </c>
      <c r="F13">
        <v>4421</v>
      </c>
      <c r="G13" t="s">
        <v>12</v>
      </c>
      <c r="H13" t="s">
        <v>11</v>
      </c>
      <c r="I13">
        <v>0.25</v>
      </c>
      <c r="J13">
        <v>500</v>
      </c>
      <c r="K13">
        <f t="shared" si="2"/>
        <v>125</v>
      </c>
      <c r="L13">
        <v>500</v>
      </c>
      <c r="M13">
        <f t="shared" si="3"/>
        <v>125</v>
      </c>
      <c r="N13">
        <v>1000</v>
      </c>
      <c r="O13">
        <f t="shared" si="0"/>
        <v>250</v>
      </c>
      <c r="Q13" t="str">
        <f t="shared" si="1"/>
        <v>Jun</v>
      </c>
    </row>
    <row r="14" spans="1:17">
      <c r="A14">
        <v>13</v>
      </c>
      <c r="B14" s="1">
        <v>45444</v>
      </c>
      <c r="C14" t="s">
        <v>54</v>
      </c>
      <c r="D14" t="s">
        <v>15</v>
      </c>
      <c r="E14" t="s">
        <v>9</v>
      </c>
      <c r="F14">
        <v>401</v>
      </c>
      <c r="G14" t="s">
        <v>13</v>
      </c>
      <c r="H14" t="s">
        <v>14</v>
      </c>
      <c r="I14">
        <v>69.52</v>
      </c>
      <c r="J14">
        <v>15</v>
      </c>
      <c r="K14">
        <f t="shared" si="2"/>
        <v>1042.8</v>
      </c>
      <c r="L14">
        <v>50</v>
      </c>
      <c r="M14">
        <f t="shared" si="3"/>
        <v>3476</v>
      </c>
      <c r="N14">
        <v>52</v>
      </c>
      <c r="O14">
        <f t="shared" si="0"/>
        <v>3615.04</v>
      </c>
      <c r="Q14" t="str">
        <f t="shared" si="1"/>
        <v>Jun</v>
      </c>
    </row>
    <row r="15" spans="1:17">
      <c r="A15">
        <v>14</v>
      </c>
      <c r="B15" s="1">
        <v>45474</v>
      </c>
      <c r="C15" t="s">
        <v>54</v>
      </c>
      <c r="D15" t="s">
        <v>15</v>
      </c>
      <c r="E15" t="s">
        <v>6</v>
      </c>
      <c r="F15">
        <v>902</v>
      </c>
      <c r="G15" t="s">
        <v>10</v>
      </c>
      <c r="H15" t="s">
        <v>11</v>
      </c>
      <c r="I15">
        <v>700</v>
      </c>
      <c r="J15">
        <v>2</v>
      </c>
      <c r="K15">
        <f t="shared" si="2"/>
        <v>1400</v>
      </c>
      <c r="L15">
        <v>12</v>
      </c>
      <c r="M15">
        <f t="shared" si="3"/>
        <v>8400</v>
      </c>
      <c r="Q15" t="str">
        <f t="shared" si="1"/>
        <v>Jul</v>
      </c>
    </row>
    <row r="16" spans="1:17">
      <c r="A16">
        <v>15</v>
      </c>
      <c r="B16" s="1">
        <v>45474</v>
      </c>
      <c r="C16" t="s">
        <v>54</v>
      </c>
      <c r="D16" t="s">
        <v>15</v>
      </c>
      <c r="E16" t="s">
        <v>7</v>
      </c>
      <c r="F16">
        <v>1701</v>
      </c>
      <c r="G16" t="s">
        <v>10</v>
      </c>
      <c r="H16" t="s">
        <v>11</v>
      </c>
      <c r="I16">
        <v>120</v>
      </c>
      <c r="J16">
        <v>3</v>
      </c>
      <c r="K16">
        <f t="shared" si="2"/>
        <v>360</v>
      </c>
      <c r="L16">
        <v>10</v>
      </c>
      <c r="M16">
        <f t="shared" si="3"/>
        <v>1200</v>
      </c>
      <c r="Q16" t="str">
        <f t="shared" si="1"/>
        <v>Jul</v>
      </c>
    </row>
    <row r="17" spans="1:17">
      <c r="A17">
        <v>16</v>
      </c>
      <c r="B17" s="1">
        <v>45474</v>
      </c>
      <c r="C17" t="s">
        <v>54</v>
      </c>
      <c r="D17" t="s">
        <v>15</v>
      </c>
      <c r="E17" t="s">
        <v>8</v>
      </c>
      <c r="F17">
        <v>4421</v>
      </c>
      <c r="G17" t="s">
        <v>12</v>
      </c>
      <c r="H17" t="s">
        <v>11</v>
      </c>
      <c r="I17">
        <v>0.25</v>
      </c>
      <c r="J17">
        <v>300</v>
      </c>
      <c r="K17">
        <f t="shared" si="2"/>
        <v>75</v>
      </c>
      <c r="L17">
        <v>500</v>
      </c>
      <c r="M17">
        <f t="shared" si="3"/>
        <v>125</v>
      </c>
      <c r="Q17" t="str">
        <f t="shared" si="1"/>
        <v>Jul</v>
      </c>
    </row>
    <row r="18" spans="1:17">
      <c r="A18">
        <v>17</v>
      </c>
      <c r="B18" s="1">
        <v>45474</v>
      </c>
      <c r="C18" t="s">
        <v>54</v>
      </c>
      <c r="D18" t="s">
        <v>15</v>
      </c>
      <c r="E18" t="s">
        <v>9</v>
      </c>
      <c r="F18">
        <v>401</v>
      </c>
      <c r="G18" t="s">
        <v>13</v>
      </c>
      <c r="H18" t="s">
        <v>14</v>
      </c>
      <c r="I18">
        <v>69.52</v>
      </c>
      <c r="J18">
        <v>15</v>
      </c>
      <c r="K18">
        <f t="shared" si="2"/>
        <v>1042.8</v>
      </c>
      <c r="L18">
        <v>50</v>
      </c>
      <c r="M18">
        <f t="shared" si="3"/>
        <v>3476</v>
      </c>
      <c r="Q18" t="str">
        <f t="shared" si="1"/>
        <v>Jul</v>
      </c>
    </row>
    <row r="19" spans="1:17">
      <c r="A19">
        <v>18</v>
      </c>
      <c r="B19" s="1">
        <v>45383</v>
      </c>
      <c r="C19" t="s">
        <v>54</v>
      </c>
      <c r="D19" t="s">
        <v>40</v>
      </c>
      <c r="E19" t="s">
        <v>41</v>
      </c>
      <c r="F19">
        <v>21012010</v>
      </c>
      <c r="G19" t="s">
        <v>43</v>
      </c>
      <c r="H19" t="s">
        <v>37</v>
      </c>
      <c r="I19">
        <v>160</v>
      </c>
      <c r="J19">
        <v>57</v>
      </c>
      <c r="K19">
        <f>J19*I19</f>
        <v>9120</v>
      </c>
      <c r="L19">
        <v>0</v>
      </c>
      <c r="M19">
        <f>L19*I19</f>
        <v>0</v>
      </c>
      <c r="N19">
        <v>31</v>
      </c>
      <c r="O19">
        <f t="shared" ref="O19:O21" si="4">N19*I19</f>
        <v>4960</v>
      </c>
      <c r="Q19" t="str">
        <f t="shared" si="1"/>
        <v>Apr</v>
      </c>
    </row>
    <row r="20" spans="1:17">
      <c r="A20">
        <v>19</v>
      </c>
      <c r="B20" s="1">
        <v>45383</v>
      </c>
      <c r="C20" t="s">
        <v>54</v>
      </c>
      <c r="D20" t="s">
        <v>40</v>
      </c>
      <c r="E20" t="s">
        <v>42</v>
      </c>
      <c r="F20">
        <v>21011110</v>
      </c>
      <c r="G20" t="s">
        <v>43</v>
      </c>
      <c r="H20" t="s">
        <v>37</v>
      </c>
      <c r="I20">
        <v>160</v>
      </c>
      <c r="J20">
        <v>33</v>
      </c>
      <c r="K20">
        <f t="shared" ref="K20:K54" si="5">J20*I20</f>
        <v>5280</v>
      </c>
      <c r="L20">
        <v>50</v>
      </c>
      <c r="M20">
        <f t="shared" ref="M20:M54" si="6">L20*I20</f>
        <v>8000</v>
      </c>
      <c r="N20">
        <v>53</v>
      </c>
      <c r="O20">
        <f t="shared" si="4"/>
        <v>8480</v>
      </c>
      <c r="Q20" t="str">
        <f t="shared" si="1"/>
        <v>Apr</v>
      </c>
    </row>
    <row r="21" spans="1:17">
      <c r="A21">
        <v>20</v>
      </c>
      <c r="B21" s="1">
        <v>45413</v>
      </c>
      <c r="C21" t="s">
        <v>54</v>
      </c>
      <c r="D21" t="s">
        <v>40</v>
      </c>
      <c r="E21" t="s">
        <v>41</v>
      </c>
      <c r="F21">
        <v>21012010</v>
      </c>
      <c r="G21" t="s">
        <v>43</v>
      </c>
      <c r="H21" t="s">
        <v>37</v>
      </c>
      <c r="I21">
        <v>160</v>
      </c>
      <c r="J21">
        <v>26</v>
      </c>
      <c r="K21">
        <f t="shared" si="5"/>
        <v>4160</v>
      </c>
      <c r="L21">
        <v>30</v>
      </c>
      <c r="M21">
        <f t="shared" si="6"/>
        <v>4800</v>
      </c>
      <c r="N21">
        <v>34</v>
      </c>
      <c r="O21">
        <f t="shared" si="4"/>
        <v>5440</v>
      </c>
      <c r="Q21" t="str">
        <f t="shared" si="1"/>
        <v>May</v>
      </c>
    </row>
    <row r="22" spans="1:17">
      <c r="A22">
        <v>21</v>
      </c>
      <c r="B22" s="1">
        <v>45413</v>
      </c>
      <c r="C22" t="s">
        <v>54</v>
      </c>
      <c r="D22" t="s">
        <v>40</v>
      </c>
      <c r="E22" t="s">
        <v>42</v>
      </c>
      <c r="F22">
        <v>21011110</v>
      </c>
      <c r="G22" t="s">
        <v>43</v>
      </c>
      <c r="H22" t="s">
        <v>37</v>
      </c>
      <c r="I22">
        <v>160</v>
      </c>
      <c r="J22">
        <v>30</v>
      </c>
      <c r="K22">
        <f t="shared" si="5"/>
        <v>4800</v>
      </c>
      <c r="L22">
        <v>40</v>
      </c>
      <c r="M22">
        <f t="shared" si="6"/>
        <v>6400</v>
      </c>
      <c r="N22">
        <v>60</v>
      </c>
      <c r="O22">
        <f t="shared" ref="O22:O32" si="7">N22*I22</f>
        <v>9600</v>
      </c>
      <c r="Q22" t="str">
        <f t="shared" si="1"/>
        <v>May</v>
      </c>
    </row>
    <row r="23" spans="1:17">
      <c r="A23">
        <v>22</v>
      </c>
      <c r="B23" s="1">
        <v>45444</v>
      </c>
      <c r="C23" t="s">
        <v>54</v>
      </c>
      <c r="D23" t="s">
        <v>40</v>
      </c>
      <c r="E23" t="s">
        <v>41</v>
      </c>
      <c r="F23">
        <v>21012010</v>
      </c>
      <c r="G23" t="s">
        <v>43</v>
      </c>
      <c r="H23" t="s">
        <v>37</v>
      </c>
      <c r="I23">
        <v>160</v>
      </c>
      <c r="J23">
        <v>22</v>
      </c>
      <c r="K23">
        <f t="shared" si="5"/>
        <v>3520</v>
      </c>
      <c r="L23">
        <v>50</v>
      </c>
      <c r="M23">
        <f t="shared" si="6"/>
        <v>8000</v>
      </c>
      <c r="N23">
        <v>34</v>
      </c>
      <c r="O23">
        <f t="shared" si="7"/>
        <v>5440</v>
      </c>
      <c r="Q23" t="str">
        <f t="shared" si="1"/>
        <v>Jun</v>
      </c>
    </row>
    <row r="24" spans="1:17">
      <c r="A24">
        <v>23</v>
      </c>
      <c r="B24" s="1">
        <v>45444</v>
      </c>
      <c r="C24" t="s">
        <v>54</v>
      </c>
      <c r="D24" t="s">
        <v>40</v>
      </c>
      <c r="E24" t="s">
        <v>42</v>
      </c>
      <c r="F24">
        <v>21011110</v>
      </c>
      <c r="G24" t="s">
        <v>43</v>
      </c>
      <c r="H24" t="s">
        <v>37</v>
      </c>
      <c r="I24">
        <v>160</v>
      </c>
      <c r="J24">
        <v>10</v>
      </c>
      <c r="K24">
        <f t="shared" si="5"/>
        <v>1600</v>
      </c>
      <c r="L24">
        <v>80</v>
      </c>
      <c r="M24">
        <f t="shared" si="6"/>
        <v>12800</v>
      </c>
      <c r="N24">
        <v>60</v>
      </c>
      <c r="O24">
        <f t="shared" si="7"/>
        <v>9600</v>
      </c>
      <c r="Q24" t="str">
        <f t="shared" si="1"/>
        <v>Jun</v>
      </c>
    </row>
    <row r="25" spans="1:17">
      <c r="A25">
        <v>24</v>
      </c>
      <c r="B25" s="1">
        <v>45474</v>
      </c>
      <c r="C25" t="s">
        <v>54</v>
      </c>
      <c r="D25" t="s">
        <v>40</v>
      </c>
      <c r="E25" t="s">
        <v>41</v>
      </c>
      <c r="F25">
        <v>21012010</v>
      </c>
      <c r="G25" t="s">
        <v>43</v>
      </c>
      <c r="H25" t="s">
        <v>37</v>
      </c>
      <c r="I25">
        <v>160</v>
      </c>
      <c r="J25">
        <v>41</v>
      </c>
      <c r="K25">
        <f t="shared" si="5"/>
        <v>6560</v>
      </c>
      <c r="L25">
        <v>20</v>
      </c>
      <c r="M25">
        <f t="shared" si="6"/>
        <v>3200</v>
      </c>
      <c r="N25">
        <v>61</v>
      </c>
      <c r="O25">
        <f t="shared" si="7"/>
        <v>9760</v>
      </c>
      <c r="Q25" t="str">
        <f t="shared" si="1"/>
        <v>Jul</v>
      </c>
    </row>
    <row r="26" spans="1:17">
      <c r="A26">
        <v>25</v>
      </c>
      <c r="B26" s="1">
        <v>45474</v>
      </c>
      <c r="C26" t="s">
        <v>54</v>
      </c>
      <c r="D26" t="s">
        <v>40</v>
      </c>
      <c r="E26" t="s">
        <v>42</v>
      </c>
      <c r="F26">
        <v>21011110</v>
      </c>
      <c r="G26" t="s">
        <v>43</v>
      </c>
      <c r="H26" t="s">
        <v>37</v>
      </c>
      <c r="I26">
        <v>160</v>
      </c>
      <c r="J26">
        <v>6</v>
      </c>
      <c r="K26">
        <f t="shared" si="5"/>
        <v>960</v>
      </c>
      <c r="L26">
        <v>110</v>
      </c>
      <c r="M26">
        <f t="shared" si="6"/>
        <v>17600</v>
      </c>
      <c r="N26">
        <v>116</v>
      </c>
      <c r="O26">
        <f t="shared" si="7"/>
        <v>18560</v>
      </c>
      <c r="Q26" t="str">
        <f t="shared" si="1"/>
        <v>Jul</v>
      </c>
    </row>
    <row r="27" spans="1:17">
      <c r="B27" s="1">
        <v>45383</v>
      </c>
      <c r="C27" t="s">
        <v>56</v>
      </c>
      <c r="D27" t="s">
        <v>40</v>
      </c>
      <c r="E27" t="s">
        <v>41</v>
      </c>
      <c r="F27">
        <v>21012010</v>
      </c>
      <c r="G27" t="s">
        <v>43</v>
      </c>
      <c r="H27" t="s">
        <v>37</v>
      </c>
      <c r="I27">
        <v>160</v>
      </c>
      <c r="J27">
        <v>149</v>
      </c>
      <c r="K27">
        <f t="shared" si="5"/>
        <v>23840</v>
      </c>
      <c r="L27">
        <v>60</v>
      </c>
      <c r="M27">
        <f t="shared" si="6"/>
        <v>9600</v>
      </c>
      <c r="N27">
        <v>103</v>
      </c>
      <c r="O27">
        <f t="shared" si="7"/>
        <v>16480</v>
      </c>
      <c r="Q27" t="str">
        <f t="shared" si="1"/>
        <v>Apr</v>
      </c>
    </row>
    <row r="28" spans="1:17">
      <c r="B28" s="1">
        <v>45383</v>
      </c>
      <c r="C28" t="s">
        <v>56</v>
      </c>
      <c r="D28" t="s">
        <v>40</v>
      </c>
      <c r="E28" t="s">
        <v>42</v>
      </c>
      <c r="F28">
        <v>21011110</v>
      </c>
      <c r="G28" t="s">
        <v>43</v>
      </c>
      <c r="H28" t="s">
        <v>37</v>
      </c>
      <c r="I28">
        <v>160</v>
      </c>
      <c r="J28">
        <v>115</v>
      </c>
      <c r="K28">
        <f t="shared" si="5"/>
        <v>18400</v>
      </c>
      <c r="L28">
        <v>150</v>
      </c>
      <c r="M28">
        <f t="shared" si="6"/>
        <v>24000</v>
      </c>
      <c r="N28">
        <v>157</v>
      </c>
      <c r="O28">
        <f t="shared" si="7"/>
        <v>25120</v>
      </c>
      <c r="Q28" t="str">
        <f t="shared" si="1"/>
        <v>Apr</v>
      </c>
    </row>
    <row r="29" spans="1:17">
      <c r="B29" s="1">
        <v>45413</v>
      </c>
      <c r="C29" t="s">
        <v>56</v>
      </c>
      <c r="D29" t="s">
        <v>40</v>
      </c>
      <c r="E29" t="s">
        <v>41</v>
      </c>
      <c r="F29">
        <v>21012010</v>
      </c>
      <c r="G29" t="s">
        <v>43</v>
      </c>
      <c r="H29" t="s">
        <v>37</v>
      </c>
      <c r="I29">
        <v>160</v>
      </c>
      <c r="J29">
        <v>106</v>
      </c>
      <c r="K29">
        <f t="shared" si="5"/>
        <v>16960</v>
      </c>
      <c r="L29">
        <v>80</v>
      </c>
      <c r="M29">
        <f t="shared" si="6"/>
        <v>12800</v>
      </c>
      <c r="N29">
        <v>85</v>
      </c>
      <c r="O29">
        <f t="shared" si="7"/>
        <v>13600</v>
      </c>
      <c r="Q29" t="str">
        <f t="shared" si="1"/>
        <v>May</v>
      </c>
    </row>
    <row r="30" spans="1:17">
      <c r="B30" s="1">
        <v>45413</v>
      </c>
      <c r="C30" t="s">
        <v>56</v>
      </c>
      <c r="D30" t="s">
        <v>40</v>
      </c>
      <c r="E30" t="s">
        <v>42</v>
      </c>
      <c r="F30">
        <v>21011110</v>
      </c>
      <c r="G30" t="s">
        <v>43</v>
      </c>
      <c r="H30" t="s">
        <v>37</v>
      </c>
      <c r="I30">
        <v>160</v>
      </c>
      <c r="J30">
        <v>108</v>
      </c>
      <c r="K30">
        <f t="shared" si="5"/>
        <v>17280</v>
      </c>
      <c r="L30">
        <v>150</v>
      </c>
      <c r="M30">
        <f t="shared" si="6"/>
        <v>24000</v>
      </c>
      <c r="N30">
        <v>173</v>
      </c>
      <c r="O30">
        <f t="shared" si="7"/>
        <v>27680</v>
      </c>
      <c r="Q30" t="str">
        <f t="shared" si="1"/>
        <v>May</v>
      </c>
    </row>
    <row r="31" spans="1:17">
      <c r="B31" s="1">
        <v>45444</v>
      </c>
      <c r="C31" t="s">
        <v>56</v>
      </c>
      <c r="D31" t="s">
        <v>40</v>
      </c>
      <c r="E31" t="s">
        <v>41</v>
      </c>
      <c r="F31">
        <v>21012010</v>
      </c>
      <c r="G31" t="s">
        <v>43</v>
      </c>
      <c r="H31" t="s">
        <v>37</v>
      </c>
      <c r="I31">
        <v>160</v>
      </c>
      <c r="J31">
        <v>101</v>
      </c>
      <c r="K31">
        <f t="shared" si="5"/>
        <v>16160</v>
      </c>
      <c r="L31">
        <v>80</v>
      </c>
      <c r="M31">
        <f t="shared" si="6"/>
        <v>12800</v>
      </c>
      <c r="N31">
        <v>101</v>
      </c>
      <c r="O31">
        <f t="shared" si="7"/>
        <v>16160</v>
      </c>
      <c r="Q31" t="str">
        <f t="shared" si="1"/>
        <v>Jun</v>
      </c>
    </row>
    <row r="32" spans="1:17">
      <c r="B32" s="1">
        <v>45444</v>
      </c>
      <c r="C32" t="s">
        <v>56</v>
      </c>
      <c r="D32" t="s">
        <v>40</v>
      </c>
      <c r="E32" t="s">
        <v>42</v>
      </c>
      <c r="F32">
        <v>21011110</v>
      </c>
      <c r="G32" t="s">
        <v>43</v>
      </c>
      <c r="H32" t="s">
        <v>37</v>
      </c>
      <c r="I32">
        <v>160</v>
      </c>
      <c r="J32">
        <v>85</v>
      </c>
      <c r="K32">
        <f t="shared" si="5"/>
        <v>13600</v>
      </c>
      <c r="L32">
        <v>150</v>
      </c>
      <c r="M32">
        <f t="shared" si="6"/>
        <v>24000</v>
      </c>
      <c r="N32">
        <v>85</v>
      </c>
      <c r="O32">
        <f t="shared" si="7"/>
        <v>13600</v>
      </c>
      <c r="Q32" t="str">
        <f t="shared" si="1"/>
        <v>Jun</v>
      </c>
    </row>
    <row r="33" spans="2:17">
      <c r="B33" s="1">
        <v>45474</v>
      </c>
      <c r="C33" t="s">
        <v>56</v>
      </c>
      <c r="D33" t="s">
        <v>40</v>
      </c>
      <c r="E33" t="s">
        <v>41</v>
      </c>
      <c r="F33">
        <v>21012010</v>
      </c>
      <c r="G33" t="s">
        <v>43</v>
      </c>
      <c r="H33" t="s">
        <v>37</v>
      </c>
      <c r="I33">
        <v>160</v>
      </c>
      <c r="J33">
        <v>150</v>
      </c>
      <c r="K33">
        <f t="shared" si="5"/>
        <v>24000</v>
      </c>
      <c r="L33">
        <v>230</v>
      </c>
      <c r="M33">
        <f t="shared" si="6"/>
        <v>36800</v>
      </c>
      <c r="Q33" t="str">
        <f t="shared" si="1"/>
        <v>Jul</v>
      </c>
    </row>
    <row r="34" spans="2:17">
      <c r="B34" s="1">
        <v>45474</v>
      </c>
      <c r="C34" t="s">
        <v>56</v>
      </c>
      <c r="D34" t="s">
        <v>40</v>
      </c>
      <c r="E34" t="s">
        <v>42</v>
      </c>
      <c r="F34">
        <v>21011110</v>
      </c>
      <c r="G34" t="s">
        <v>43</v>
      </c>
      <c r="H34" t="s">
        <v>37</v>
      </c>
      <c r="I34">
        <v>160</v>
      </c>
      <c r="J34">
        <v>20</v>
      </c>
      <c r="K34">
        <f t="shared" si="5"/>
        <v>3200</v>
      </c>
      <c r="L34">
        <v>350</v>
      </c>
      <c r="M34">
        <f t="shared" si="6"/>
        <v>56000</v>
      </c>
      <c r="Q34" t="str">
        <f t="shared" si="1"/>
        <v>Jul</v>
      </c>
    </row>
    <row r="35" spans="2:17">
      <c r="B35" s="1">
        <v>45383</v>
      </c>
      <c r="C35" t="s">
        <v>55</v>
      </c>
      <c r="D35" t="s">
        <v>15</v>
      </c>
      <c r="E35" t="s">
        <v>6</v>
      </c>
      <c r="G35" t="s">
        <v>10</v>
      </c>
      <c r="H35" t="s">
        <v>11</v>
      </c>
      <c r="I35">
        <v>650</v>
      </c>
      <c r="J35">
        <v>0</v>
      </c>
      <c r="K35">
        <f t="shared" si="5"/>
        <v>0</v>
      </c>
      <c r="L35">
        <v>0</v>
      </c>
      <c r="M35">
        <f t="shared" si="6"/>
        <v>0</v>
      </c>
      <c r="N35">
        <v>0</v>
      </c>
      <c r="O35">
        <f t="shared" ref="O35:O44" si="8">N35*I35</f>
        <v>0</v>
      </c>
      <c r="Q35" t="str">
        <f t="shared" si="1"/>
        <v>Apr</v>
      </c>
    </row>
    <row r="36" spans="2:17">
      <c r="B36" s="1">
        <v>45383</v>
      </c>
      <c r="C36" t="s">
        <v>55</v>
      </c>
      <c r="D36" t="s">
        <v>15</v>
      </c>
      <c r="E36" t="s">
        <v>7</v>
      </c>
      <c r="G36" t="s">
        <v>10</v>
      </c>
      <c r="H36" t="s">
        <v>11</v>
      </c>
      <c r="I36">
        <v>110</v>
      </c>
      <c r="J36">
        <v>10</v>
      </c>
      <c r="K36">
        <f t="shared" si="5"/>
        <v>1100</v>
      </c>
      <c r="L36">
        <v>10</v>
      </c>
      <c r="M36">
        <f t="shared" si="6"/>
        <v>1100</v>
      </c>
      <c r="N36">
        <v>17</v>
      </c>
      <c r="O36">
        <f t="shared" si="8"/>
        <v>1870</v>
      </c>
      <c r="Q36" t="str">
        <f t="shared" si="1"/>
        <v>Apr</v>
      </c>
    </row>
    <row r="37" spans="2:17">
      <c r="B37" s="1">
        <v>45383</v>
      </c>
      <c r="C37" t="s">
        <v>55</v>
      </c>
      <c r="D37" t="s">
        <v>15</v>
      </c>
      <c r="E37" t="s">
        <v>8</v>
      </c>
      <c r="G37" t="s">
        <v>12</v>
      </c>
      <c r="H37" t="s">
        <v>11</v>
      </c>
      <c r="I37">
        <v>0.26</v>
      </c>
      <c r="J37">
        <v>500</v>
      </c>
      <c r="K37">
        <f t="shared" si="5"/>
        <v>130</v>
      </c>
      <c r="L37">
        <v>1000</v>
      </c>
      <c r="M37">
        <f t="shared" si="6"/>
        <v>260</v>
      </c>
      <c r="N37">
        <v>1500</v>
      </c>
      <c r="O37">
        <f t="shared" si="8"/>
        <v>390</v>
      </c>
      <c r="Q37" t="str">
        <f t="shared" si="1"/>
        <v>Apr</v>
      </c>
    </row>
    <row r="38" spans="2:17">
      <c r="B38" s="1">
        <v>45383</v>
      </c>
      <c r="C38" t="s">
        <v>55</v>
      </c>
      <c r="D38" t="s">
        <v>15</v>
      </c>
      <c r="E38" t="s">
        <v>9</v>
      </c>
      <c r="G38" t="s">
        <v>13</v>
      </c>
      <c r="H38" t="s">
        <v>14</v>
      </c>
      <c r="I38">
        <v>69.52</v>
      </c>
      <c r="J38">
        <v>28</v>
      </c>
      <c r="K38">
        <f t="shared" si="5"/>
        <v>1946.56</v>
      </c>
      <c r="L38">
        <v>100</v>
      </c>
      <c r="M38">
        <f t="shared" si="6"/>
        <v>6952</v>
      </c>
      <c r="N38">
        <v>99</v>
      </c>
      <c r="O38">
        <f t="shared" si="8"/>
        <v>6882.48</v>
      </c>
      <c r="Q38" t="str">
        <f t="shared" si="1"/>
        <v>Apr</v>
      </c>
    </row>
    <row r="39" spans="2:17">
      <c r="B39" s="1">
        <v>45383</v>
      </c>
      <c r="C39" t="s">
        <v>55</v>
      </c>
      <c r="D39" t="s">
        <v>15</v>
      </c>
      <c r="E39" t="s">
        <v>45</v>
      </c>
      <c r="G39" t="s">
        <v>51</v>
      </c>
      <c r="H39" t="s">
        <v>11</v>
      </c>
      <c r="I39">
        <v>200</v>
      </c>
      <c r="J39">
        <v>0</v>
      </c>
      <c r="K39">
        <f t="shared" si="5"/>
        <v>0</v>
      </c>
      <c r="L39">
        <v>4</v>
      </c>
      <c r="M39">
        <f t="shared" si="6"/>
        <v>800</v>
      </c>
      <c r="N39">
        <v>2</v>
      </c>
      <c r="O39">
        <f t="shared" si="8"/>
        <v>400</v>
      </c>
      <c r="Q39" t="str">
        <f t="shared" si="1"/>
        <v>Apr</v>
      </c>
    </row>
    <row r="40" spans="2:17">
      <c r="B40" s="1">
        <v>45383</v>
      </c>
      <c r="C40" t="s">
        <v>55</v>
      </c>
      <c r="D40" t="s">
        <v>15</v>
      </c>
      <c r="E40" t="s">
        <v>46</v>
      </c>
      <c r="G40" t="s">
        <v>51</v>
      </c>
      <c r="H40" t="s">
        <v>11</v>
      </c>
      <c r="I40">
        <v>220</v>
      </c>
      <c r="J40">
        <v>0</v>
      </c>
      <c r="K40">
        <f t="shared" si="5"/>
        <v>0</v>
      </c>
      <c r="L40">
        <v>4</v>
      </c>
      <c r="M40">
        <f t="shared" si="6"/>
        <v>880</v>
      </c>
      <c r="N40">
        <v>3</v>
      </c>
      <c r="O40">
        <f t="shared" si="8"/>
        <v>660</v>
      </c>
      <c r="Q40" t="str">
        <f t="shared" si="1"/>
        <v>Apr</v>
      </c>
    </row>
    <row r="41" spans="2:17">
      <c r="B41" s="1">
        <v>45383</v>
      </c>
      <c r="C41" t="s">
        <v>55</v>
      </c>
      <c r="D41" t="s">
        <v>15</v>
      </c>
      <c r="E41" t="s">
        <v>47</v>
      </c>
      <c r="G41" t="s">
        <v>51</v>
      </c>
      <c r="H41" t="s">
        <v>11</v>
      </c>
      <c r="I41">
        <v>220</v>
      </c>
      <c r="J41">
        <v>0</v>
      </c>
      <c r="K41">
        <f t="shared" si="5"/>
        <v>0</v>
      </c>
      <c r="L41">
        <v>4</v>
      </c>
      <c r="M41">
        <f t="shared" si="6"/>
        <v>880</v>
      </c>
      <c r="N41">
        <v>3</v>
      </c>
      <c r="O41">
        <f t="shared" si="8"/>
        <v>660</v>
      </c>
      <c r="Q41" t="str">
        <f t="shared" si="1"/>
        <v>Apr</v>
      </c>
    </row>
    <row r="42" spans="2:17">
      <c r="B42" s="1">
        <v>45383</v>
      </c>
      <c r="C42" t="s">
        <v>55</v>
      </c>
      <c r="D42" t="s">
        <v>15</v>
      </c>
      <c r="E42" t="s">
        <v>48</v>
      </c>
      <c r="G42" t="s">
        <v>51</v>
      </c>
      <c r="H42" t="s">
        <v>11</v>
      </c>
      <c r="I42">
        <v>220</v>
      </c>
      <c r="J42">
        <v>0</v>
      </c>
      <c r="K42">
        <f t="shared" si="5"/>
        <v>0</v>
      </c>
      <c r="L42">
        <v>4</v>
      </c>
      <c r="M42">
        <f t="shared" si="6"/>
        <v>880</v>
      </c>
      <c r="N42">
        <v>3</v>
      </c>
      <c r="O42">
        <f t="shared" si="8"/>
        <v>660</v>
      </c>
      <c r="Q42" t="str">
        <f t="shared" si="1"/>
        <v>Apr</v>
      </c>
    </row>
    <row r="43" spans="2:17">
      <c r="B43" s="1">
        <v>45383</v>
      </c>
      <c r="C43" t="s">
        <v>55</v>
      </c>
      <c r="D43" t="s">
        <v>15</v>
      </c>
      <c r="E43" t="s">
        <v>49</v>
      </c>
      <c r="G43" t="s">
        <v>52</v>
      </c>
      <c r="H43" t="s">
        <v>11</v>
      </c>
      <c r="I43">
        <v>720</v>
      </c>
      <c r="J43">
        <v>15</v>
      </c>
      <c r="K43">
        <f t="shared" si="5"/>
        <v>10800</v>
      </c>
      <c r="L43">
        <v>5</v>
      </c>
      <c r="M43">
        <f t="shared" si="6"/>
        <v>3600</v>
      </c>
      <c r="N43">
        <v>14</v>
      </c>
      <c r="O43">
        <f t="shared" si="8"/>
        <v>10080</v>
      </c>
      <c r="Q43" t="str">
        <f t="shared" si="1"/>
        <v>Apr</v>
      </c>
    </row>
    <row r="44" spans="2:17">
      <c r="B44" s="1">
        <v>45383</v>
      </c>
      <c r="C44" t="s">
        <v>55</v>
      </c>
      <c r="D44" t="s">
        <v>15</v>
      </c>
      <c r="E44" t="s">
        <v>50</v>
      </c>
      <c r="G44" t="s">
        <v>12</v>
      </c>
      <c r="H44" t="s">
        <v>11</v>
      </c>
      <c r="I44">
        <v>4.5</v>
      </c>
      <c r="J44">
        <v>0</v>
      </c>
      <c r="K44">
        <f t="shared" si="5"/>
        <v>0</v>
      </c>
      <c r="L44">
        <v>0</v>
      </c>
      <c r="M44">
        <f t="shared" si="6"/>
        <v>0</v>
      </c>
      <c r="N44">
        <v>0</v>
      </c>
      <c r="O44">
        <f t="shared" si="8"/>
        <v>0</v>
      </c>
      <c r="Q44" t="str">
        <f t="shared" si="1"/>
        <v>Apr</v>
      </c>
    </row>
    <row r="45" spans="2:17">
      <c r="B45" s="1">
        <v>45413</v>
      </c>
      <c r="C45" t="s">
        <v>55</v>
      </c>
      <c r="D45" t="s">
        <v>15</v>
      </c>
      <c r="E45" t="s">
        <v>6</v>
      </c>
      <c r="G45" t="s">
        <v>10</v>
      </c>
      <c r="H45" t="s">
        <v>11</v>
      </c>
      <c r="I45">
        <v>650</v>
      </c>
      <c r="J45">
        <v>3</v>
      </c>
      <c r="K45">
        <f t="shared" si="5"/>
        <v>1950</v>
      </c>
      <c r="L45">
        <v>0</v>
      </c>
      <c r="M45">
        <f t="shared" si="6"/>
        <v>0</v>
      </c>
      <c r="N45">
        <v>0</v>
      </c>
      <c r="O45">
        <f t="shared" ref="O45:O63" si="9">N45*I45</f>
        <v>0</v>
      </c>
      <c r="Q45" t="str">
        <f t="shared" si="1"/>
        <v>May</v>
      </c>
    </row>
    <row r="46" spans="2:17">
      <c r="B46" s="1">
        <v>45413</v>
      </c>
      <c r="C46" t="s">
        <v>55</v>
      </c>
      <c r="D46" t="s">
        <v>15</v>
      </c>
      <c r="E46" t="s">
        <v>7</v>
      </c>
      <c r="G46" t="s">
        <v>10</v>
      </c>
      <c r="H46" t="s">
        <v>11</v>
      </c>
      <c r="I46">
        <v>110</v>
      </c>
      <c r="J46">
        <v>0</v>
      </c>
      <c r="K46">
        <f t="shared" si="5"/>
        <v>0</v>
      </c>
      <c r="L46">
        <v>24</v>
      </c>
      <c r="M46">
        <f t="shared" si="6"/>
        <v>2640</v>
      </c>
      <c r="N46">
        <v>19</v>
      </c>
      <c r="O46">
        <f t="shared" si="9"/>
        <v>2090</v>
      </c>
      <c r="Q46" t="str">
        <f t="shared" si="1"/>
        <v>May</v>
      </c>
    </row>
    <row r="47" spans="2:17">
      <c r="B47" s="1">
        <v>45413</v>
      </c>
      <c r="C47" t="s">
        <v>55</v>
      </c>
      <c r="D47" t="s">
        <v>15</v>
      </c>
      <c r="E47" t="s">
        <v>8</v>
      </c>
      <c r="G47" t="s">
        <v>12</v>
      </c>
      <c r="H47" t="s">
        <v>11</v>
      </c>
      <c r="I47">
        <v>0.26</v>
      </c>
      <c r="J47">
        <v>29</v>
      </c>
      <c r="K47">
        <f t="shared" si="5"/>
        <v>7.54</v>
      </c>
      <c r="L47">
        <v>2000</v>
      </c>
      <c r="M47">
        <f t="shared" si="6"/>
        <v>520</v>
      </c>
      <c r="N47">
        <v>1500</v>
      </c>
      <c r="O47">
        <f t="shared" si="9"/>
        <v>390</v>
      </c>
      <c r="Q47" t="str">
        <f t="shared" si="1"/>
        <v>May</v>
      </c>
    </row>
    <row r="48" spans="2:17">
      <c r="B48" s="1">
        <v>45413</v>
      </c>
      <c r="C48" t="s">
        <v>55</v>
      </c>
      <c r="D48" t="s">
        <v>15</v>
      </c>
      <c r="E48" t="s">
        <v>9</v>
      </c>
      <c r="G48" t="s">
        <v>13</v>
      </c>
      <c r="H48" t="s">
        <v>14</v>
      </c>
      <c r="I48">
        <v>69.52</v>
      </c>
      <c r="J48">
        <v>2</v>
      </c>
      <c r="K48">
        <f t="shared" si="5"/>
        <v>139.04</v>
      </c>
      <c r="L48">
        <v>108</v>
      </c>
      <c r="M48">
        <f t="shared" si="6"/>
        <v>7508.16</v>
      </c>
      <c r="N48">
        <v>116</v>
      </c>
      <c r="O48">
        <f t="shared" si="9"/>
        <v>8064.32</v>
      </c>
      <c r="Q48" t="str">
        <f t="shared" si="1"/>
        <v>May</v>
      </c>
    </row>
    <row r="49" spans="2:17">
      <c r="B49" s="1">
        <v>45413</v>
      </c>
      <c r="C49" t="s">
        <v>55</v>
      </c>
      <c r="D49" t="s">
        <v>15</v>
      </c>
      <c r="E49" t="s">
        <v>45</v>
      </c>
      <c r="G49" t="s">
        <v>51</v>
      </c>
      <c r="H49" t="s">
        <v>11</v>
      </c>
      <c r="I49">
        <v>200</v>
      </c>
      <c r="J49">
        <v>1</v>
      </c>
      <c r="K49">
        <f t="shared" si="5"/>
        <v>200</v>
      </c>
      <c r="L49">
        <v>4</v>
      </c>
      <c r="M49">
        <f t="shared" si="6"/>
        <v>800</v>
      </c>
      <c r="N49">
        <v>6</v>
      </c>
      <c r="O49">
        <f t="shared" si="9"/>
        <v>1200</v>
      </c>
      <c r="Q49" t="str">
        <f t="shared" si="1"/>
        <v>May</v>
      </c>
    </row>
    <row r="50" spans="2:17">
      <c r="B50" s="1">
        <v>45413</v>
      </c>
      <c r="C50" t="s">
        <v>55</v>
      </c>
      <c r="D50" t="s">
        <v>15</v>
      </c>
      <c r="E50" t="s">
        <v>46</v>
      </c>
      <c r="G50" t="s">
        <v>51</v>
      </c>
      <c r="H50" t="s">
        <v>11</v>
      </c>
      <c r="I50">
        <v>220</v>
      </c>
      <c r="J50">
        <v>1</v>
      </c>
      <c r="K50">
        <f t="shared" si="5"/>
        <v>220</v>
      </c>
      <c r="L50">
        <v>4</v>
      </c>
      <c r="M50">
        <f t="shared" si="6"/>
        <v>880</v>
      </c>
      <c r="N50">
        <v>4</v>
      </c>
      <c r="O50">
        <f t="shared" si="9"/>
        <v>880</v>
      </c>
      <c r="Q50" t="str">
        <f t="shared" si="1"/>
        <v>May</v>
      </c>
    </row>
    <row r="51" spans="2:17">
      <c r="B51" s="1">
        <v>45413</v>
      </c>
      <c r="C51" t="s">
        <v>55</v>
      </c>
      <c r="D51" t="s">
        <v>15</v>
      </c>
      <c r="E51" t="s">
        <v>47</v>
      </c>
      <c r="G51" t="s">
        <v>51</v>
      </c>
      <c r="H51" t="s">
        <v>11</v>
      </c>
      <c r="I51">
        <v>220</v>
      </c>
      <c r="J51">
        <v>1</v>
      </c>
      <c r="K51">
        <f t="shared" si="5"/>
        <v>220</v>
      </c>
      <c r="L51">
        <v>4</v>
      </c>
      <c r="M51">
        <f t="shared" si="6"/>
        <v>880</v>
      </c>
      <c r="N51">
        <v>5</v>
      </c>
      <c r="O51">
        <f t="shared" si="9"/>
        <v>1100</v>
      </c>
      <c r="Q51" t="str">
        <f t="shared" si="1"/>
        <v>May</v>
      </c>
    </row>
    <row r="52" spans="2:17">
      <c r="B52" s="1">
        <v>45413</v>
      </c>
      <c r="C52" t="s">
        <v>55</v>
      </c>
      <c r="D52" t="s">
        <v>15</v>
      </c>
      <c r="E52" t="s">
        <v>48</v>
      </c>
      <c r="G52" t="s">
        <v>51</v>
      </c>
      <c r="H52" t="s">
        <v>11</v>
      </c>
      <c r="I52">
        <v>220</v>
      </c>
      <c r="J52">
        <v>6</v>
      </c>
      <c r="K52">
        <f t="shared" si="5"/>
        <v>1320</v>
      </c>
      <c r="L52">
        <v>4</v>
      </c>
      <c r="M52">
        <f t="shared" si="6"/>
        <v>880</v>
      </c>
      <c r="N52">
        <v>5</v>
      </c>
      <c r="O52">
        <f t="shared" si="9"/>
        <v>1100</v>
      </c>
      <c r="Q52" t="str">
        <f t="shared" si="1"/>
        <v>May</v>
      </c>
    </row>
    <row r="53" spans="2:17">
      <c r="B53" s="1">
        <v>45413</v>
      </c>
      <c r="C53" t="s">
        <v>55</v>
      </c>
      <c r="D53" t="s">
        <v>15</v>
      </c>
      <c r="E53" t="s">
        <v>49</v>
      </c>
      <c r="G53" t="s">
        <v>52</v>
      </c>
      <c r="H53" t="s">
        <v>11</v>
      </c>
      <c r="I53">
        <v>720</v>
      </c>
      <c r="J53">
        <v>0</v>
      </c>
      <c r="K53">
        <f t="shared" si="5"/>
        <v>0</v>
      </c>
      <c r="L53">
        <v>18</v>
      </c>
      <c r="M53">
        <f t="shared" si="6"/>
        <v>12960</v>
      </c>
      <c r="N53">
        <v>12</v>
      </c>
      <c r="O53">
        <f t="shared" si="9"/>
        <v>8640</v>
      </c>
      <c r="Q53" t="str">
        <f t="shared" si="1"/>
        <v>May</v>
      </c>
    </row>
    <row r="54" spans="2:17">
      <c r="B54" s="1">
        <v>45413</v>
      </c>
      <c r="C54" t="s">
        <v>55</v>
      </c>
      <c r="D54" t="s">
        <v>15</v>
      </c>
      <c r="E54" t="s">
        <v>50</v>
      </c>
      <c r="G54" t="s">
        <v>12</v>
      </c>
      <c r="H54" t="s">
        <v>11</v>
      </c>
      <c r="I54">
        <v>4.5</v>
      </c>
      <c r="J54">
        <v>0</v>
      </c>
      <c r="K54">
        <f t="shared" si="5"/>
        <v>0</v>
      </c>
      <c r="L54">
        <v>0</v>
      </c>
      <c r="M54">
        <f t="shared" si="6"/>
        <v>0</v>
      </c>
      <c r="O54">
        <f t="shared" si="9"/>
        <v>0</v>
      </c>
      <c r="Q54" t="str">
        <f t="shared" si="1"/>
        <v>May</v>
      </c>
    </row>
    <row r="55" spans="2:17">
      <c r="B55" s="1">
        <v>45444</v>
      </c>
      <c r="C55" t="s">
        <v>55</v>
      </c>
      <c r="D55" t="s">
        <v>15</v>
      </c>
      <c r="E55" t="s">
        <v>6</v>
      </c>
      <c r="G55" t="s">
        <v>10</v>
      </c>
      <c r="H55" t="s">
        <v>11</v>
      </c>
      <c r="I55">
        <v>650</v>
      </c>
      <c r="N55">
        <v>0</v>
      </c>
      <c r="O55">
        <f t="shared" si="9"/>
        <v>0</v>
      </c>
      <c r="Q55" t="str">
        <f t="shared" si="1"/>
        <v>Jun</v>
      </c>
    </row>
    <row r="56" spans="2:17">
      <c r="B56" s="1">
        <v>45444</v>
      </c>
      <c r="C56" t="s">
        <v>55</v>
      </c>
      <c r="D56" t="s">
        <v>15</v>
      </c>
      <c r="E56" t="s">
        <v>7</v>
      </c>
      <c r="G56" t="s">
        <v>10</v>
      </c>
      <c r="H56" t="s">
        <v>11</v>
      </c>
      <c r="I56">
        <v>110</v>
      </c>
      <c r="N56">
        <v>19</v>
      </c>
      <c r="O56">
        <f t="shared" si="9"/>
        <v>2090</v>
      </c>
      <c r="Q56" t="str">
        <f t="shared" si="1"/>
        <v>Jun</v>
      </c>
    </row>
    <row r="57" spans="2:17">
      <c r="B57" s="1">
        <v>45444</v>
      </c>
      <c r="C57" t="s">
        <v>55</v>
      </c>
      <c r="D57" t="s">
        <v>15</v>
      </c>
      <c r="E57" t="s">
        <v>8</v>
      </c>
      <c r="G57" t="s">
        <v>12</v>
      </c>
      <c r="H57" t="s">
        <v>11</v>
      </c>
      <c r="I57">
        <v>0.26</v>
      </c>
      <c r="N57">
        <v>1500</v>
      </c>
      <c r="O57">
        <f t="shared" si="9"/>
        <v>390</v>
      </c>
      <c r="Q57" t="str">
        <f t="shared" si="1"/>
        <v>Jun</v>
      </c>
    </row>
    <row r="58" spans="2:17">
      <c r="B58" s="1">
        <v>45444</v>
      </c>
      <c r="C58" t="s">
        <v>55</v>
      </c>
      <c r="D58" t="s">
        <v>15</v>
      </c>
      <c r="E58" t="s">
        <v>9</v>
      </c>
      <c r="G58" t="s">
        <v>13</v>
      </c>
      <c r="H58" t="s">
        <v>14</v>
      </c>
      <c r="I58">
        <v>69.52</v>
      </c>
      <c r="N58">
        <v>116</v>
      </c>
      <c r="O58">
        <f t="shared" si="9"/>
        <v>8064.32</v>
      </c>
      <c r="Q58" t="str">
        <f t="shared" si="1"/>
        <v>Jun</v>
      </c>
    </row>
    <row r="59" spans="2:17">
      <c r="B59" s="1">
        <v>45444</v>
      </c>
      <c r="C59" t="s">
        <v>55</v>
      </c>
      <c r="D59" t="s">
        <v>15</v>
      </c>
      <c r="E59" t="s">
        <v>45</v>
      </c>
      <c r="G59" t="s">
        <v>51</v>
      </c>
      <c r="H59" t="s">
        <v>11</v>
      </c>
      <c r="I59">
        <v>200</v>
      </c>
      <c r="N59">
        <v>6</v>
      </c>
      <c r="O59">
        <f t="shared" si="9"/>
        <v>1200</v>
      </c>
      <c r="Q59" t="str">
        <f t="shared" si="1"/>
        <v>Jun</v>
      </c>
    </row>
    <row r="60" spans="2:17">
      <c r="B60" s="1">
        <v>45444</v>
      </c>
      <c r="C60" t="s">
        <v>55</v>
      </c>
      <c r="D60" t="s">
        <v>15</v>
      </c>
      <c r="E60" t="s">
        <v>46</v>
      </c>
      <c r="G60" t="s">
        <v>51</v>
      </c>
      <c r="H60" t="s">
        <v>11</v>
      </c>
      <c r="I60">
        <v>220</v>
      </c>
      <c r="N60">
        <v>4</v>
      </c>
      <c r="O60">
        <f t="shared" si="9"/>
        <v>880</v>
      </c>
      <c r="Q60" t="str">
        <f t="shared" si="1"/>
        <v>Jun</v>
      </c>
    </row>
    <row r="61" spans="2:17">
      <c r="B61" s="1">
        <v>45444</v>
      </c>
      <c r="C61" t="s">
        <v>55</v>
      </c>
      <c r="D61" t="s">
        <v>15</v>
      </c>
      <c r="E61" t="s">
        <v>47</v>
      </c>
      <c r="G61" t="s">
        <v>51</v>
      </c>
      <c r="H61" t="s">
        <v>11</v>
      </c>
      <c r="I61">
        <v>220</v>
      </c>
      <c r="N61">
        <v>5</v>
      </c>
      <c r="O61">
        <f t="shared" si="9"/>
        <v>1100</v>
      </c>
      <c r="Q61" t="str">
        <f t="shared" si="1"/>
        <v>Jun</v>
      </c>
    </row>
    <row r="62" spans="2:17">
      <c r="B62" s="1">
        <v>45444</v>
      </c>
      <c r="C62" t="s">
        <v>55</v>
      </c>
      <c r="D62" t="s">
        <v>15</v>
      </c>
      <c r="E62" t="s">
        <v>48</v>
      </c>
      <c r="G62" t="s">
        <v>51</v>
      </c>
      <c r="H62" t="s">
        <v>11</v>
      </c>
      <c r="I62">
        <v>220</v>
      </c>
      <c r="N62">
        <v>5</v>
      </c>
      <c r="O62">
        <f t="shared" si="9"/>
        <v>1100</v>
      </c>
      <c r="Q62" t="str">
        <f t="shared" si="1"/>
        <v>Jun</v>
      </c>
    </row>
    <row r="63" spans="2:17">
      <c r="B63" s="1">
        <v>45444</v>
      </c>
      <c r="C63" t="s">
        <v>55</v>
      </c>
      <c r="D63" t="s">
        <v>15</v>
      </c>
      <c r="E63" t="s">
        <v>49</v>
      </c>
      <c r="G63" t="s">
        <v>52</v>
      </c>
      <c r="H63" t="s">
        <v>11</v>
      </c>
      <c r="I63">
        <v>720</v>
      </c>
      <c r="N63">
        <v>12</v>
      </c>
      <c r="O63">
        <f t="shared" si="9"/>
        <v>8640</v>
      </c>
      <c r="Q63" t="str">
        <f t="shared" si="1"/>
        <v>Jun</v>
      </c>
    </row>
    <row r="64" spans="2:17">
      <c r="B64" s="1">
        <v>45444</v>
      </c>
      <c r="C64" t="s">
        <v>55</v>
      </c>
      <c r="D64" t="s">
        <v>15</v>
      </c>
      <c r="E64" t="s">
        <v>50</v>
      </c>
      <c r="G64" t="s">
        <v>12</v>
      </c>
      <c r="H64" t="s">
        <v>11</v>
      </c>
      <c r="I64">
        <v>4.5</v>
      </c>
      <c r="Q64" t="str">
        <f t="shared" si="1"/>
        <v>Jun</v>
      </c>
    </row>
    <row r="65" spans="2:17">
      <c r="B65" s="1">
        <v>45474</v>
      </c>
      <c r="C65" t="s">
        <v>55</v>
      </c>
      <c r="D65" t="s">
        <v>15</v>
      </c>
      <c r="E65" t="s">
        <v>6</v>
      </c>
      <c r="G65" t="s">
        <v>10</v>
      </c>
      <c r="H65" t="s">
        <v>11</v>
      </c>
      <c r="I65">
        <v>650</v>
      </c>
      <c r="J65">
        <v>0</v>
      </c>
      <c r="K65">
        <f t="shared" ref="K65:K74" si="10">J65*I65</f>
        <v>0</v>
      </c>
      <c r="L65">
        <v>0</v>
      </c>
      <c r="M65">
        <f t="shared" ref="M65:M74" si="11">L65*I65</f>
        <v>0</v>
      </c>
      <c r="N65">
        <v>0</v>
      </c>
      <c r="O65">
        <f t="shared" ref="O65:O74" si="12">N65*I65</f>
        <v>0</v>
      </c>
      <c r="Q65" t="str">
        <f t="shared" si="1"/>
        <v>Jul</v>
      </c>
    </row>
    <row r="66" spans="2:17">
      <c r="B66" s="1">
        <v>45474</v>
      </c>
      <c r="C66" t="s">
        <v>55</v>
      </c>
      <c r="D66" t="s">
        <v>15</v>
      </c>
      <c r="E66" t="s">
        <v>7</v>
      </c>
      <c r="G66" t="s">
        <v>10</v>
      </c>
      <c r="H66" t="s">
        <v>11</v>
      </c>
      <c r="I66">
        <v>110</v>
      </c>
      <c r="J66">
        <v>8</v>
      </c>
      <c r="K66">
        <f t="shared" si="10"/>
        <v>880</v>
      </c>
      <c r="L66">
        <v>15</v>
      </c>
      <c r="M66">
        <f t="shared" si="11"/>
        <v>1650</v>
      </c>
      <c r="N66">
        <v>0</v>
      </c>
      <c r="O66">
        <f t="shared" si="12"/>
        <v>0</v>
      </c>
      <c r="Q66" t="str">
        <f t="shared" ref="Q66:Q74" si="13">TEXT(B66,"MMM")</f>
        <v>Jul</v>
      </c>
    </row>
    <row r="67" spans="2:17">
      <c r="B67" s="1">
        <v>45474</v>
      </c>
      <c r="C67" t="s">
        <v>55</v>
      </c>
      <c r="D67" t="s">
        <v>15</v>
      </c>
      <c r="E67" t="s">
        <v>8</v>
      </c>
      <c r="G67" t="s">
        <v>12</v>
      </c>
      <c r="H67" t="s">
        <v>11</v>
      </c>
      <c r="I67">
        <v>0.26</v>
      </c>
      <c r="J67">
        <v>500</v>
      </c>
      <c r="K67">
        <f t="shared" si="10"/>
        <v>130</v>
      </c>
      <c r="L67">
        <v>1000</v>
      </c>
      <c r="M67">
        <f t="shared" si="11"/>
        <v>260</v>
      </c>
      <c r="N67">
        <v>15</v>
      </c>
      <c r="O67">
        <f t="shared" si="12"/>
        <v>3.9000000000000004</v>
      </c>
      <c r="Q67" t="str">
        <f t="shared" si="13"/>
        <v>Jul</v>
      </c>
    </row>
    <row r="68" spans="2:17">
      <c r="B68" s="1">
        <v>45474</v>
      </c>
      <c r="C68" t="s">
        <v>55</v>
      </c>
      <c r="D68" t="s">
        <v>15</v>
      </c>
      <c r="E68" t="s">
        <v>9</v>
      </c>
      <c r="G68" t="s">
        <v>13</v>
      </c>
      <c r="H68" t="s">
        <v>14</v>
      </c>
      <c r="I68">
        <v>69.52</v>
      </c>
      <c r="J68">
        <v>21</v>
      </c>
      <c r="K68">
        <f t="shared" si="10"/>
        <v>1459.9199999999998</v>
      </c>
      <c r="L68">
        <v>120</v>
      </c>
      <c r="M68">
        <f t="shared" si="11"/>
        <v>8342.4</v>
      </c>
      <c r="N68">
        <v>1000</v>
      </c>
      <c r="O68">
        <f t="shared" si="12"/>
        <v>69520</v>
      </c>
      <c r="Q68" t="str">
        <f t="shared" si="13"/>
        <v>Jul</v>
      </c>
    </row>
    <row r="69" spans="2:17">
      <c r="B69" s="1">
        <v>45474</v>
      </c>
      <c r="C69" t="s">
        <v>55</v>
      </c>
      <c r="D69" t="s">
        <v>15</v>
      </c>
      <c r="E69" t="s">
        <v>45</v>
      </c>
      <c r="G69" t="s">
        <v>51</v>
      </c>
      <c r="H69" t="s">
        <v>11</v>
      </c>
      <c r="I69">
        <v>200</v>
      </c>
      <c r="J69">
        <v>0</v>
      </c>
      <c r="K69">
        <f t="shared" si="10"/>
        <v>0</v>
      </c>
      <c r="L69">
        <v>4</v>
      </c>
      <c r="M69">
        <f t="shared" si="11"/>
        <v>800</v>
      </c>
      <c r="N69">
        <v>120</v>
      </c>
      <c r="O69">
        <f t="shared" si="12"/>
        <v>24000</v>
      </c>
      <c r="Q69" t="str">
        <f t="shared" si="13"/>
        <v>Jul</v>
      </c>
    </row>
    <row r="70" spans="2:17">
      <c r="B70" s="1">
        <v>45474</v>
      </c>
      <c r="C70" t="s">
        <v>55</v>
      </c>
      <c r="D70" t="s">
        <v>15</v>
      </c>
      <c r="E70" t="s">
        <v>46</v>
      </c>
      <c r="G70" t="s">
        <v>51</v>
      </c>
      <c r="H70" t="s">
        <v>11</v>
      </c>
      <c r="I70">
        <v>220</v>
      </c>
      <c r="J70">
        <v>1</v>
      </c>
      <c r="K70">
        <f t="shared" si="10"/>
        <v>220</v>
      </c>
      <c r="L70">
        <v>4</v>
      </c>
      <c r="M70">
        <f t="shared" si="11"/>
        <v>880</v>
      </c>
      <c r="N70">
        <v>4</v>
      </c>
      <c r="O70">
        <f t="shared" si="12"/>
        <v>880</v>
      </c>
      <c r="Q70" t="str">
        <f t="shared" si="13"/>
        <v>Jul</v>
      </c>
    </row>
    <row r="71" spans="2:17">
      <c r="B71" s="1">
        <v>45474</v>
      </c>
      <c r="C71" t="s">
        <v>55</v>
      </c>
      <c r="D71" t="s">
        <v>15</v>
      </c>
      <c r="E71" t="s">
        <v>47</v>
      </c>
      <c r="G71" t="s">
        <v>51</v>
      </c>
      <c r="H71" t="s">
        <v>11</v>
      </c>
      <c r="I71">
        <v>220</v>
      </c>
      <c r="J71">
        <v>0</v>
      </c>
      <c r="K71">
        <f t="shared" si="10"/>
        <v>0</v>
      </c>
      <c r="L71">
        <v>4</v>
      </c>
      <c r="M71">
        <f t="shared" si="11"/>
        <v>880</v>
      </c>
      <c r="N71">
        <v>4</v>
      </c>
      <c r="O71">
        <f t="shared" si="12"/>
        <v>880</v>
      </c>
      <c r="Q71" t="str">
        <f t="shared" si="13"/>
        <v>Jul</v>
      </c>
    </row>
    <row r="72" spans="2:17">
      <c r="B72" s="1">
        <v>45474</v>
      </c>
      <c r="C72" t="s">
        <v>55</v>
      </c>
      <c r="D72" t="s">
        <v>15</v>
      </c>
      <c r="E72" t="s">
        <v>48</v>
      </c>
      <c r="G72" t="s">
        <v>51</v>
      </c>
      <c r="H72" t="s">
        <v>11</v>
      </c>
      <c r="I72">
        <v>220</v>
      </c>
      <c r="J72">
        <v>0</v>
      </c>
      <c r="K72">
        <f t="shared" si="10"/>
        <v>0</v>
      </c>
      <c r="L72">
        <v>4</v>
      </c>
      <c r="M72">
        <f t="shared" si="11"/>
        <v>880</v>
      </c>
      <c r="N72">
        <v>4</v>
      </c>
      <c r="O72">
        <f t="shared" si="12"/>
        <v>880</v>
      </c>
      <c r="Q72" t="str">
        <f t="shared" si="13"/>
        <v>Jul</v>
      </c>
    </row>
    <row r="73" spans="2:17">
      <c r="B73" s="1">
        <v>45474</v>
      </c>
      <c r="C73" t="s">
        <v>55</v>
      </c>
      <c r="D73" t="s">
        <v>15</v>
      </c>
      <c r="E73" t="s">
        <v>49</v>
      </c>
      <c r="G73" t="s">
        <v>52</v>
      </c>
      <c r="H73" t="s">
        <v>11</v>
      </c>
      <c r="I73">
        <v>720</v>
      </c>
      <c r="J73">
        <v>12</v>
      </c>
      <c r="K73">
        <f t="shared" si="10"/>
        <v>8640</v>
      </c>
      <c r="L73">
        <v>10</v>
      </c>
      <c r="M73">
        <f t="shared" si="11"/>
        <v>7200</v>
      </c>
      <c r="N73">
        <v>4</v>
      </c>
      <c r="O73">
        <f t="shared" si="12"/>
        <v>2880</v>
      </c>
      <c r="Q73" t="str">
        <f t="shared" si="13"/>
        <v>Jul</v>
      </c>
    </row>
    <row r="74" spans="2:17">
      <c r="B74" s="1">
        <v>45474</v>
      </c>
      <c r="C74" t="s">
        <v>55</v>
      </c>
      <c r="D74" t="s">
        <v>15</v>
      </c>
      <c r="E74" t="s">
        <v>50</v>
      </c>
      <c r="G74" t="s">
        <v>12</v>
      </c>
      <c r="H74" t="s">
        <v>11</v>
      </c>
      <c r="I74">
        <v>4.5</v>
      </c>
      <c r="K74">
        <f t="shared" si="10"/>
        <v>0</v>
      </c>
      <c r="L74">
        <v>0</v>
      </c>
      <c r="M74">
        <f t="shared" si="11"/>
        <v>0</v>
      </c>
      <c r="N74">
        <v>10</v>
      </c>
      <c r="O74">
        <f t="shared" si="12"/>
        <v>45</v>
      </c>
      <c r="Q74" t="str">
        <f t="shared" si="13"/>
        <v>Jul</v>
      </c>
    </row>
  </sheetData>
  <autoFilter ref="A1:O74" xr:uid="{00000000-0001-0000-0000-000000000000}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48F9E-ABD3-46BF-986B-33802FCD4E4D}">
  <dimension ref="A1:G23"/>
  <sheetViews>
    <sheetView workbookViewId="0">
      <pane ySplit="1" topLeftCell="A2" activePane="bottomLeft" state="frozen"/>
      <selection pane="bottomLeft" activeCell="D34" sqref="D34"/>
    </sheetView>
  </sheetViews>
  <sheetFormatPr defaultRowHeight="15"/>
  <cols>
    <col min="1" max="1" width="19.5703125" bestFit="1" customWidth="1"/>
    <col min="2" max="2" width="23.7109375" bestFit="1" customWidth="1"/>
    <col min="3" max="3" width="18.7109375" bestFit="1" customWidth="1"/>
  </cols>
  <sheetData>
    <row r="1" spans="1:7">
      <c r="A1" t="s">
        <v>5</v>
      </c>
      <c r="B1" t="s">
        <v>25</v>
      </c>
      <c r="C1" t="s">
        <v>28</v>
      </c>
      <c r="F1" t="s">
        <v>16</v>
      </c>
    </row>
    <row r="2" spans="1:7" ht="18.75">
      <c r="A2" t="str" cm="1">
        <f t="array" ref="A2:A4">_xlfn.UNIQUE('Monthly Data'!D2:D1048576)</f>
        <v>Sumant Technotrade</v>
      </c>
      <c r="B2" t="str" cm="1">
        <f t="array" ref="B2:B5">_xlfn.UNIQUE('Monthly Data'!C2:C1048576)</f>
        <v>Office Space Con.</v>
      </c>
      <c r="C2" t="str" cm="1">
        <f t="array" ref="C2:C14">_xlfn.UNIQUE('Monthly Data'!E2:E1048576)</f>
        <v>Coffee beans</v>
      </c>
      <c r="F2" s="5">
        <v>45383</v>
      </c>
      <c r="G2" s="4"/>
    </row>
    <row r="3" spans="1:7">
      <c r="A3" t="str">
        <v>Veebha Beverages</v>
      </c>
      <c r="B3" t="str">
        <v>OWT Pvt Ltd</v>
      </c>
      <c r="C3" t="str">
        <v xml:space="preserve">Sugar Sachet White </v>
      </c>
      <c r="F3" s="5">
        <v>45413</v>
      </c>
    </row>
    <row r="4" spans="1:7">
      <c r="A4">
        <v>0</v>
      </c>
      <c r="B4" t="str">
        <v>Digital Advice LLP</v>
      </c>
      <c r="C4" t="str">
        <v>Stirrer</v>
      </c>
      <c r="F4" s="5">
        <v>45444</v>
      </c>
    </row>
    <row r="5" spans="1:7">
      <c r="B5">
        <v>0</v>
      </c>
      <c r="C5" t="str">
        <v>Milk</v>
      </c>
      <c r="F5" s="5">
        <v>45474</v>
      </c>
    </row>
    <row r="6" spans="1:7">
      <c r="C6" t="str">
        <v>Tea premix</v>
      </c>
      <c r="F6" s="5">
        <v>45505</v>
      </c>
    </row>
    <row r="7" spans="1:7">
      <c r="C7" t="str">
        <v>Coffee</v>
      </c>
      <c r="F7" s="5">
        <v>45536</v>
      </c>
    </row>
    <row r="8" spans="1:7">
      <c r="C8" t="str">
        <v>Flavor Tea bag Flavored -Plain</v>
      </c>
      <c r="F8" s="5">
        <v>45566</v>
      </c>
    </row>
    <row r="9" spans="1:7">
      <c r="C9" t="str">
        <v>Flavor Tea bag Flavored -Cardamom</v>
      </c>
      <c r="F9" s="5">
        <v>45597</v>
      </c>
    </row>
    <row r="10" spans="1:7">
      <c r="C10" t="str">
        <v xml:space="preserve">Flavor Tea bag Flavored - Ginger </v>
      </c>
      <c r="F10" s="5">
        <v>45627</v>
      </c>
    </row>
    <row r="11" spans="1:7">
      <c r="C11" t="str">
        <v>Flavor Tea bag Flavored - Masal</v>
      </c>
      <c r="F11" s="5">
        <v>45658</v>
      </c>
    </row>
    <row r="12" spans="1:7">
      <c r="C12" t="str">
        <v>Coffee  beans Value Blend</v>
      </c>
      <c r="F12" s="5">
        <v>45689</v>
      </c>
    </row>
    <row r="13" spans="1:7">
      <c r="C13" t="str">
        <v>Flavor Tea bag  Lemon - Green</v>
      </c>
      <c r="F13" s="5">
        <v>45717</v>
      </c>
    </row>
    <row r="14" spans="1:7">
      <c r="C14">
        <v>0</v>
      </c>
      <c r="F14" s="5">
        <v>45748</v>
      </c>
    </row>
    <row r="15" spans="1:7">
      <c r="F15" s="5">
        <v>45778</v>
      </c>
    </row>
    <row r="16" spans="1:7">
      <c r="F16" s="5">
        <v>45809</v>
      </c>
    </row>
    <row r="17" spans="6:6">
      <c r="F17" s="5">
        <v>45839</v>
      </c>
    </row>
    <row r="18" spans="6:6">
      <c r="F18" s="5">
        <v>45870</v>
      </c>
    </row>
    <row r="19" spans="6:6">
      <c r="F19" s="5">
        <v>45901</v>
      </c>
    </row>
    <row r="20" spans="6:6">
      <c r="F20" s="5">
        <v>45931</v>
      </c>
    </row>
    <row r="21" spans="6:6">
      <c r="F21" s="5">
        <v>45962</v>
      </c>
    </row>
    <row r="22" spans="6:6">
      <c r="F22" s="5">
        <v>45992</v>
      </c>
    </row>
    <row r="23" spans="6:6">
      <c r="F23" s="5">
        <v>46023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D481D-3A75-447E-9EFF-2B573862B04D}">
  <dimension ref="A1:J1206"/>
  <sheetViews>
    <sheetView workbookViewId="0">
      <pane ySplit="1" topLeftCell="A1174" activePane="bottomLeft" state="frozen"/>
      <selection pane="bottomLeft" activeCell="B1182" sqref="B1182:C1182"/>
    </sheetView>
  </sheetViews>
  <sheetFormatPr defaultColWidth="17.140625" defaultRowHeight="15"/>
  <cols>
    <col min="1" max="1" width="10.42578125" bestFit="1" customWidth="1"/>
    <col min="2" max="2" width="23.7109375" bestFit="1" customWidth="1"/>
    <col min="3" max="3" width="19.5703125" bestFit="1" customWidth="1"/>
    <col min="4" max="4" width="33.140625" bestFit="1" customWidth="1"/>
    <col min="5" max="5" width="5" bestFit="1" customWidth="1"/>
    <col min="6" max="6" width="10.42578125" bestFit="1" customWidth="1"/>
    <col min="7" max="7" width="10.7109375" bestFit="1" customWidth="1"/>
    <col min="9" max="9" width="7" bestFit="1" customWidth="1"/>
  </cols>
  <sheetData>
    <row r="1" spans="1:10">
      <c r="A1" s="2" t="s">
        <v>16</v>
      </c>
      <c r="B1" s="2" t="s">
        <v>25</v>
      </c>
      <c r="C1" s="2" t="s">
        <v>5</v>
      </c>
      <c r="D1" s="2" t="s">
        <v>28</v>
      </c>
      <c r="E1" s="2" t="s">
        <v>4</v>
      </c>
      <c r="F1" s="2" t="s">
        <v>17</v>
      </c>
      <c r="G1" s="2" t="s">
        <v>18</v>
      </c>
      <c r="H1" s="2"/>
      <c r="I1" s="2" t="s">
        <v>27</v>
      </c>
      <c r="J1" s="2"/>
    </row>
    <row r="2" spans="1:10">
      <c r="A2" s="1">
        <v>45383</v>
      </c>
      <c r="B2" t="s">
        <v>54</v>
      </c>
      <c r="C2" t="s">
        <v>15</v>
      </c>
      <c r="D2" t="s">
        <v>6</v>
      </c>
      <c r="E2">
        <v>700</v>
      </c>
      <c r="F2">
        <v>0</v>
      </c>
      <c r="G2">
        <f>F2*E2</f>
        <v>0</v>
      </c>
    </row>
    <row r="3" spans="1:10">
      <c r="A3" s="1">
        <f>A2+1</f>
        <v>45384</v>
      </c>
      <c r="B3" t="s">
        <v>54</v>
      </c>
      <c r="C3" t="s">
        <v>15</v>
      </c>
      <c r="D3" t="s">
        <v>6</v>
      </c>
      <c r="E3">
        <v>700</v>
      </c>
      <c r="F3">
        <v>0</v>
      </c>
      <c r="G3">
        <f t="shared" ref="G3:G66" si="0">F3*E3</f>
        <v>0</v>
      </c>
    </row>
    <row r="4" spans="1:10">
      <c r="A4" s="1">
        <f t="shared" ref="A4:A31" si="1">A3+1</f>
        <v>45385</v>
      </c>
      <c r="B4" t="s">
        <v>54</v>
      </c>
      <c r="C4" t="s">
        <v>15</v>
      </c>
      <c r="D4" t="s">
        <v>6</v>
      </c>
      <c r="E4">
        <v>700</v>
      </c>
      <c r="F4">
        <v>1</v>
      </c>
      <c r="G4">
        <f t="shared" si="0"/>
        <v>700</v>
      </c>
    </row>
    <row r="5" spans="1:10">
      <c r="A5" s="1">
        <f t="shared" si="1"/>
        <v>45386</v>
      </c>
      <c r="B5" t="s">
        <v>54</v>
      </c>
      <c r="C5" t="s">
        <v>15</v>
      </c>
      <c r="D5" t="s">
        <v>6</v>
      </c>
      <c r="E5">
        <v>700</v>
      </c>
      <c r="F5">
        <v>0</v>
      </c>
      <c r="G5">
        <f t="shared" si="0"/>
        <v>0</v>
      </c>
    </row>
    <row r="6" spans="1:10">
      <c r="A6" s="1">
        <f t="shared" si="1"/>
        <v>45387</v>
      </c>
      <c r="B6" t="s">
        <v>54</v>
      </c>
      <c r="C6" t="s">
        <v>15</v>
      </c>
      <c r="D6" t="s">
        <v>6</v>
      </c>
      <c r="E6">
        <v>700</v>
      </c>
      <c r="F6">
        <v>1</v>
      </c>
      <c r="G6">
        <f>F6*E6</f>
        <v>700</v>
      </c>
    </row>
    <row r="7" spans="1:10">
      <c r="A7" s="1">
        <f t="shared" si="1"/>
        <v>45388</v>
      </c>
      <c r="B7" t="s">
        <v>54</v>
      </c>
      <c r="C7" t="s">
        <v>15</v>
      </c>
      <c r="D7" t="s">
        <v>6</v>
      </c>
      <c r="E7">
        <v>700</v>
      </c>
      <c r="F7">
        <v>0</v>
      </c>
      <c r="G7">
        <f t="shared" si="0"/>
        <v>0</v>
      </c>
    </row>
    <row r="8" spans="1:10">
      <c r="A8" s="1">
        <f t="shared" si="1"/>
        <v>45389</v>
      </c>
      <c r="B8" t="s">
        <v>54</v>
      </c>
      <c r="C8" t="s">
        <v>15</v>
      </c>
      <c r="D8" t="s">
        <v>6</v>
      </c>
      <c r="E8">
        <v>700</v>
      </c>
      <c r="F8">
        <v>0</v>
      </c>
      <c r="G8">
        <f t="shared" si="0"/>
        <v>0</v>
      </c>
    </row>
    <row r="9" spans="1:10">
      <c r="A9" s="1">
        <f t="shared" si="1"/>
        <v>45390</v>
      </c>
      <c r="B9" t="s">
        <v>54</v>
      </c>
      <c r="C9" t="s">
        <v>15</v>
      </c>
      <c r="D9" t="s">
        <v>6</v>
      </c>
      <c r="E9">
        <v>700</v>
      </c>
      <c r="F9">
        <v>0</v>
      </c>
      <c r="G9">
        <f t="shared" si="0"/>
        <v>0</v>
      </c>
    </row>
    <row r="10" spans="1:10">
      <c r="A10" s="1">
        <f t="shared" si="1"/>
        <v>45391</v>
      </c>
      <c r="B10" t="s">
        <v>54</v>
      </c>
      <c r="C10" t="s">
        <v>15</v>
      </c>
      <c r="D10" t="s">
        <v>6</v>
      </c>
      <c r="E10">
        <v>700</v>
      </c>
      <c r="F10">
        <v>0</v>
      </c>
      <c r="G10">
        <f t="shared" si="0"/>
        <v>0</v>
      </c>
    </row>
    <row r="11" spans="1:10">
      <c r="A11" s="1">
        <f t="shared" si="1"/>
        <v>45392</v>
      </c>
      <c r="B11" t="s">
        <v>54</v>
      </c>
      <c r="C11" t="s">
        <v>15</v>
      </c>
      <c r="D11" t="s">
        <v>6</v>
      </c>
      <c r="E11">
        <v>700</v>
      </c>
      <c r="F11">
        <v>1</v>
      </c>
      <c r="G11">
        <f t="shared" si="0"/>
        <v>700</v>
      </c>
    </row>
    <row r="12" spans="1:10">
      <c r="A12" s="1">
        <f t="shared" si="1"/>
        <v>45393</v>
      </c>
      <c r="B12" t="s">
        <v>54</v>
      </c>
      <c r="C12" t="s">
        <v>15</v>
      </c>
      <c r="D12" t="s">
        <v>6</v>
      </c>
      <c r="E12">
        <v>700</v>
      </c>
      <c r="F12">
        <v>0</v>
      </c>
      <c r="G12">
        <f t="shared" si="0"/>
        <v>0</v>
      </c>
    </row>
    <row r="13" spans="1:10">
      <c r="A13" s="1">
        <f t="shared" si="1"/>
        <v>45394</v>
      </c>
      <c r="B13" t="s">
        <v>54</v>
      </c>
      <c r="C13" t="s">
        <v>15</v>
      </c>
      <c r="D13" t="s">
        <v>6</v>
      </c>
      <c r="E13">
        <v>700</v>
      </c>
      <c r="F13">
        <v>0</v>
      </c>
      <c r="G13">
        <f t="shared" si="0"/>
        <v>0</v>
      </c>
    </row>
    <row r="14" spans="1:10">
      <c r="A14" s="1">
        <f t="shared" si="1"/>
        <v>45395</v>
      </c>
      <c r="B14" t="s">
        <v>54</v>
      </c>
      <c r="C14" t="s">
        <v>15</v>
      </c>
      <c r="D14" t="s">
        <v>6</v>
      </c>
      <c r="E14">
        <v>700</v>
      </c>
      <c r="F14">
        <v>0</v>
      </c>
      <c r="G14">
        <f t="shared" si="0"/>
        <v>0</v>
      </c>
    </row>
    <row r="15" spans="1:10">
      <c r="A15" s="1">
        <f t="shared" si="1"/>
        <v>45396</v>
      </c>
      <c r="B15" t="s">
        <v>54</v>
      </c>
      <c r="C15" t="s">
        <v>15</v>
      </c>
      <c r="D15" t="s">
        <v>6</v>
      </c>
      <c r="E15">
        <v>700</v>
      </c>
      <c r="F15">
        <v>0</v>
      </c>
      <c r="G15">
        <f t="shared" si="0"/>
        <v>0</v>
      </c>
    </row>
    <row r="16" spans="1:10">
      <c r="A16" s="1">
        <f t="shared" si="1"/>
        <v>45397</v>
      </c>
      <c r="B16" t="s">
        <v>54</v>
      </c>
      <c r="C16" t="s">
        <v>15</v>
      </c>
      <c r="D16" t="s">
        <v>6</v>
      </c>
      <c r="E16">
        <v>700</v>
      </c>
      <c r="F16">
        <v>1</v>
      </c>
      <c r="G16">
        <f t="shared" si="0"/>
        <v>700</v>
      </c>
    </row>
    <row r="17" spans="1:7">
      <c r="A17" s="1">
        <f t="shared" si="1"/>
        <v>45398</v>
      </c>
      <c r="B17" t="s">
        <v>54</v>
      </c>
      <c r="C17" t="s">
        <v>15</v>
      </c>
      <c r="D17" t="s">
        <v>6</v>
      </c>
      <c r="E17">
        <v>700</v>
      </c>
      <c r="F17">
        <v>0</v>
      </c>
      <c r="G17">
        <f t="shared" si="0"/>
        <v>0</v>
      </c>
    </row>
    <row r="18" spans="1:7">
      <c r="A18" s="1">
        <f t="shared" si="1"/>
        <v>45399</v>
      </c>
      <c r="B18" t="s">
        <v>54</v>
      </c>
      <c r="C18" t="s">
        <v>15</v>
      </c>
      <c r="D18" t="s">
        <v>6</v>
      </c>
      <c r="E18">
        <v>700</v>
      </c>
      <c r="F18">
        <v>0</v>
      </c>
      <c r="G18">
        <f t="shared" si="0"/>
        <v>0</v>
      </c>
    </row>
    <row r="19" spans="1:7">
      <c r="A19" s="1">
        <f t="shared" si="1"/>
        <v>45400</v>
      </c>
      <c r="B19" t="s">
        <v>54</v>
      </c>
      <c r="C19" t="s">
        <v>15</v>
      </c>
      <c r="D19" t="s">
        <v>6</v>
      </c>
      <c r="E19">
        <v>700</v>
      </c>
      <c r="F19">
        <v>1</v>
      </c>
      <c r="G19">
        <f t="shared" si="0"/>
        <v>700</v>
      </c>
    </row>
    <row r="20" spans="1:7">
      <c r="A20" s="1">
        <f t="shared" si="1"/>
        <v>45401</v>
      </c>
      <c r="B20" t="s">
        <v>54</v>
      </c>
      <c r="C20" t="s">
        <v>15</v>
      </c>
      <c r="D20" t="s">
        <v>6</v>
      </c>
      <c r="E20">
        <v>700</v>
      </c>
      <c r="F20">
        <v>0</v>
      </c>
      <c r="G20">
        <f t="shared" si="0"/>
        <v>0</v>
      </c>
    </row>
    <row r="21" spans="1:7">
      <c r="A21" s="1">
        <f t="shared" si="1"/>
        <v>45402</v>
      </c>
      <c r="B21" t="s">
        <v>54</v>
      </c>
      <c r="C21" t="s">
        <v>15</v>
      </c>
      <c r="D21" t="s">
        <v>6</v>
      </c>
      <c r="E21">
        <v>700</v>
      </c>
      <c r="F21">
        <v>0</v>
      </c>
      <c r="G21">
        <f t="shared" si="0"/>
        <v>0</v>
      </c>
    </row>
    <row r="22" spans="1:7">
      <c r="A22" s="1">
        <f t="shared" si="1"/>
        <v>45403</v>
      </c>
      <c r="B22" t="s">
        <v>54</v>
      </c>
      <c r="C22" t="s">
        <v>15</v>
      </c>
      <c r="D22" t="s">
        <v>6</v>
      </c>
      <c r="E22">
        <v>700</v>
      </c>
      <c r="F22">
        <v>0</v>
      </c>
      <c r="G22">
        <f t="shared" si="0"/>
        <v>0</v>
      </c>
    </row>
    <row r="23" spans="1:7">
      <c r="A23" s="1">
        <f t="shared" si="1"/>
        <v>45404</v>
      </c>
      <c r="B23" t="s">
        <v>54</v>
      </c>
      <c r="C23" t="s">
        <v>15</v>
      </c>
      <c r="D23" t="s">
        <v>6</v>
      </c>
      <c r="E23">
        <v>700</v>
      </c>
      <c r="F23">
        <v>0</v>
      </c>
      <c r="G23">
        <f t="shared" si="0"/>
        <v>0</v>
      </c>
    </row>
    <row r="24" spans="1:7">
      <c r="A24" s="1">
        <f t="shared" si="1"/>
        <v>45405</v>
      </c>
      <c r="B24" t="s">
        <v>54</v>
      </c>
      <c r="C24" t="s">
        <v>15</v>
      </c>
      <c r="D24" t="s">
        <v>6</v>
      </c>
      <c r="E24">
        <v>700</v>
      </c>
      <c r="F24">
        <v>1</v>
      </c>
      <c r="G24">
        <f t="shared" si="0"/>
        <v>700</v>
      </c>
    </row>
    <row r="25" spans="1:7">
      <c r="A25" s="1">
        <f t="shared" si="1"/>
        <v>45406</v>
      </c>
      <c r="B25" t="s">
        <v>54</v>
      </c>
      <c r="C25" t="s">
        <v>15</v>
      </c>
      <c r="D25" t="s">
        <v>6</v>
      </c>
      <c r="E25">
        <v>700</v>
      </c>
      <c r="F25">
        <v>0</v>
      </c>
      <c r="G25">
        <f t="shared" si="0"/>
        <v>0</v>
      </c>
    </row>
    <row r="26" spans="1:7">
      <c r="A26" s="1">
        <f t="shared" si="1"/>
        <v>45407</v>
      </c>
      <c r="B26" t="s">
        <v>54</v>
      </c>
      <c r="C26" t="s">
        <v>15</v>
      </c>
      <c r="D26" t="s">
        <v>6</v>
      </c>
      <c r="E26">
        <v>700</v>
      </c>
      <c r="F26">
        <v>1</v>
      </c>
      <c r="G26">
        <f t="shared" si="0"/>
        <v>700</v>
      </c>
    </row>
    <row r="27" spans="1:7">
      <c r="A27" s="1">
        <f t="shared" si="1"/>
        <v>45408</v>
      </c>
      <c r="B27" t="s">
        <v>54</v>
      </c>
      <c r="C27" t="s">
        <v>15</v>
      </c>
      <c r="D27" t="s">
        <v>6</v>
      </c>
      <c r="E27">
        <v>700</v>
      </c>
      <c r="F27">
        <v>0</v>
      </c>
      <c r="G27">
        <f t="shared" si="0"/>
        <v>0</v>
      </c>
    </row>
    <row r="28" spans="1:7">
      <c r="A28" s="1">
        <f t="shared" si="1"/>
        <v>45409</v>
      </c>
      <c r="B28" t="s">
        <v>54</v>
      </c>
      <c r="C28" t="s">
        <v>15</v>
      </c>
      <c r="D28" t="s">
        <v>6</v>
      </c>
      <c r="E28">
        <v>700</v>
      </c>
      <c r="F28">
        <v>0</v>
      </c>
      <c r="G28">
        <f t="shared" si="0"/>
        <v>0</v>
      </c>
    </row>
    <row r="29" spans="1:7">
      <c r="A29" s="1">
        <f t="shared" si="1"/>
        <v>45410</v>
      </c>
      <c r="B29" t="s">
        <v>54</v>
      </c>
      <c r="C29" t="s">
        <v>15</v>
      </c>
      <c r="D29" t="s">
        <v>6</v>
      </c>
      <c r="E29">
        <v>700</v>
      </c>
      <c r="F29">
        <v>0</v>
      </c>
      <c r="G29">
        <f t="shared" si="0"/>
        <v>0</v>
      </c>
    </row>
    <row r="30" spans="1:7">
      <c r="A30" s="1">
        <f t="shared" si="1"/>
        <v>45411</v>
      </c>
      <c r="B30" t="s">
        <v>54</v>
      </c>
      <c r="C30" t="s">
        <v>15</v>
      </c>
      <c r="D30" t="s">
        <v>6</v>
      </c>
      <c r="E30">
        <v>700</v>
      </c>
      <c r="F30">
        <v>0</v>
      </c>
      <c r="G30">
        <f t="shared" si="0"/>
        <v>0</v>
      </c>
    </row>
    <row r="31" spans="1:7">
      <c r="A31" s="1">
        <f t="shared" si="1"/>
        <v>45412</v>
      </c>
      <c r="B31" t="s">
        <v>54</v>
      </c>
      <c r="C31" t="s">
        <v>15</v>
      </c>
      <c r="D31" t="s">
        <v>6</v>
      </c>
      <c r="E31">
        <v>700</v>
      </c>
      <c r="F31">
        <v>1</v>
      </c>
      <c r="G31">
        <f t="shared" si="0"/>
        <v>700</v>
      </c>
    </row>
    <row r="32" spans="1:7">
      <c r="A32" s="1">
        <v>45383</v>
      </c>
      <c r="B32" t="s">
        <v>54</v>
      </c>
      <c r="C32" t="s">
        <v>15</v>
      </c>
      <c r="D32" t="s">
        <v>7</v>
      </c>
      <c r="E32">
        <v>120</v>
      </c>
      <c r="F32">
        <v>0</v>
      </c>
      <c r="G32">
        <f t="shared" si="0"/>
        <v>0</v>
      </c>
    </row>
    <row r="33" spans="1:7">
      <c r="A33" s="1">
        <f>A32+1</f>
        <v>45384</v>
      </c>
      <c r="B33" t="s">
        <v>54</v>
      </c>
      <c r="C33" t="s">
        <v>15</v>
      </c>
      <c r="D33" t="s">
        <v>7</v>
      </c>
      <c r="E33">
        <v>120</v>
      </c>
      <c r="F33">
        <v>1</v>
      </c>
      <c r="G33">
        <f t="shared" si="0"/>
        <v>120</v>
      </c>
    </row>
    <row r="34" spans="1:7">
      <c r="A34" s="1">
        <f t="shared" ref="A34:A61" si="2">A33+1</f>
        <v>45385</v>
      </c>
      <c r="B34" t="s">
        <v>54</v>
      </c>
      <c r="C34" t="s">
        <v>15</v>
      </c>
      <c r="D34" t="s">
        <v>7</v>
      </c>
      <c r="E34">
        <v>120</v>
      </c>
      <c r="F34">
        <v>0</v>
      </c>
      <c r="G34">
        <f t="shared" si="0"/>
        <v>0</v>
      </c>
    </row>
    <row r="35" spans="1:7">
      <c r="A35" s="1">
        <f t="shared" si="2"/>
        <v>45386</v>
      </c>
      <c r="B35" t="s">
        <v>54</v>
      </c>
      <c r="C35" t="s">
        <v>15</v>
      </c>
      <c r="D35" t="s">
        <v>7</v>
      </c>
      <c r="E35">
        <v>120</v>
      </c>
      <c r="F35">
        <v>0</v>
      </c>
      <c r="G35">
        <f t="shared" si="0"/>
        <v>0</v>
      </c>
    </row>
    <row r="36" spans="1:7">
      <c r="A36" s="1">
        <f t="shared" si="2"/>
        <v>45387</v>
      </c>
      <c r="B36" t="s">
        <v>54</v>
      </c>
      <c r="C36" t="s">
        <v>15</v>
      </c>
      <c r="D36" t="s">
        <v>7</v>
      </c>
      <c r="E36">
        <v>120</v>
      </c>
      <c r="F36">
        <v>1</v>
      </c>
      <c r="G36">
        <f t="shared" si="0"/>
        <v>120</v>
      </c>
    </row>
    <row r="37" spans="1:7">
      <c r="A37" s="1">
        <f t="shared" si="2"/>
        <v>45388</v>
      </c>
      <c r="B37" t="s">
        <v>54</v>
      </c>
      <c r="C37" t="s">
        <v>15</v>
      </c>
      <c r="D37" t="s">
        <v>7</v>
      </c>
      <c r="E37">
        <v>120</v>
      </c>
      <c r="F37">
        <v>0</v>
      </c>
      <c r="G37">
        <f t="shared" si="0"/>
        <v>0</v>
      </c>
    </row>
    <row r="38" spans="1:7">
      <c r="A38" s="1">
        <f t="shared" si="2"/>
        <v>45389</v>
      </c>
      <c r="B38" t="s">
        <v>54</v>
      </c>
      <c r="C38" t="s">
        <v>15</v>
      </c>
      <c r="D38" t="s">
        <v>7</v>
      </c>
      <c r="E38">
        <v>120</v>
      </c>
      <c r="F38">
        <v>0</v>
      </c>
      <c r="G38">
        <f t="shared" si="0"/>
        <v>0</v>
      </c>
    </row>
    <row r="39" spans="1:7">
      <c r="A39" s="1">
        <f t="shared" si="2"/>
        <v>45390</v>
      </c>
      <c r="B39" t="s">
        <v>54</v>
      </c>
      <c r="C39" t="s">
        <v>15</v>
      </c>
      <c r="D39" t="s">
        <v>7</v>
      </c>
      <c r="E39">
        <v>120</v>
      </c>
      <c r="F39">
        <v>0</v>
      </c>
      <c r="G39">
        <f t="shared" si="0"/>
        <v>0</v>
      </c>
    </row>
    <row r="40" spans="1:7">
      <c r="A40" s="1">
        <f t="shared" si="2"/>
        <v>45391</v>
      </c>
      <c r="B40" t="s">
        <v>54</v>
      </c>
      <c r="C40" t="s">
        <v>15</v>
      </c>
      <c r="D40" t="s">
        <v>7</v>
      </c>
      <c r="E40">
        <v>120</v>
      </c>
      <c r="F40">
        <v>0</v>
      </c>
      <c r="G40">
        <f t="shared" si="0"/>
        <v>0</v>
      </c>
    </row>
    <row r="41" spans="1:7">
      <c r="A41" s="1">
        <f t="shared" si="2"/>
        <v>45392</v>
      </c>
      <c r="B41" t="s">
        <v>54</v>
      </c>
      <c r="C41" t="s">
        <v>15</v>
      </c>
      <c r="D41" t="s">
        <v>7</v>
      </c>
      <c r="E41">
        <v>120</v>
      </c>
      <c r="F41">
        <v>1</v>
      </c>
      <c r="G41">
        <f t="shared" si="0"/>
        <v>120</v>
      </c>
    </row>
    <row r="42" spans="1:7">
      <c r="A42" s="1">
        <f t="shared" si="2"/>
        <v>45393</v>
      </c>
      <c r="B42" t="s">
        <v>54</v>
      </c>
      <c r="C42" t="s">
        <v>15</v>
      </c>
      <c r="D42" t="s">
        <v>7</v>
      </c>
      <c r="E42">
        <v>120</v>
      </c>
      <c r="F42">
        <v>0</v>
      </c>
      <c r="G42">
        <f t="shared" si="0"/>
        <v>0</v>
      </c>
    </row>
    <row r="43" spans="1:7">
      <c r="A43" s="1">
        <f t="shared" si="2"/>
        <v>45394</v>
      </c>
      <c r="B43" t="s">
        <v>54</v>
      </c>
      <c r="C43" t="s">
        <v>15</v>
      </c>
      <c r="D43" t="s">
        <v>7</v>
      </c>
      <c r="E43">
        <v>120</v>
      </c>
      <c r="F43">
        <v>0</v>
      </c>
      <c r="G43">
        <f t="shared" si="0"/>
        <v>0</v>
      </c>
    </row>
    <row r="44" spans="1:7">
      <c r="A44" s="1">
        <f t="shared" si="2"/>
        <v>45395</v>
      </c>
      <c r="B44" t="s">
        <v>54</v>
      </c>
      <c r="C44" t="s">
        <v>15</v>
      </c>
      <c r="D44" t="s">
        <v>7</v>
      </c>
      <c r="E44">
        <v>120</v>
      </c>
      <c r="F44">
        <v>0</v>
      </c>
      <c r="G44">
        <f t="shared" si="0"/>
        <v>0</v>
      </c>
    </row>
    <row r="45" spans="1:7">
      <c r="A45" s="1">
        <f t="shared" si="2"/>
        <v>45396</v>
      </c>
      <c r="B45" t="s">
        <v>54</v>
      </c>
      <c r="C45" t="s">
        <v>15</v>
      </c>
      <c r="D45" t="s">
        <v>7</v>
      </c>
      <c r="E45">
        <v>120</v>
      </c>
      <c r="F45">
        <v>0</v>
      </c>
      <c r="G45">
        <f t="shared" si="0"/>
        <v>0</v>
      </c>
    </row>
    <row r="46" spans="1:7">
      <c r="A46" s="1">
        <f t="shared" si="2"/>
        <v>45397</v>
      </c>
      <c r="B46" t="s">
        <v>54</v>
      </c>
      <c r="C46" t="s">
        <v>15</v>
      </c>
      <c r="D46" t="s">
        <v>7</v>
      </c>
      <c r="E46">
        <v>120</v>
      </c>
      <c r="F46">
        <v>0</v>
      </c>
      <c r="G46">
        <f t="shared" si="0"/>
        <v>0</v>
      </c>
    </row>
    <row r="47" spans="1:7">
      <c r="A47" s="1">
        <f t="shared" si="2"/>
        <v>45398</v>
      </c>
      <c r="B47" t="s">
        <v>54</v>
      </c>
      <c r="C47" t="s">
        <v>15</v>
      </c>
      <c r="D47" t="s">
        <v>7</v>
      </c>
      <c r="E47">
        <v>120</v>
      </c>
      <c r="F47">
        <v>1</v>
      </c>
      <c r="G47">
        <f t="shared" si="0"/>
        <v>120</v>
      </c>
    </row>
    <row r="48" spans="1:7">
      <c r="A48" s="1">
        <f t="shared" si="2"/>
        <v>45399</v>
      </c>
      <c r="B48" t="s">
        <v>54</v>
      </c>
      <c r="C48" t="s">
        <v>15</v>
      </c>
      <c r="D48" t="s">
        <v>7</v>
      </c>
      <c r="E48">
        <v>120</v>
      </c>
      <c r="F48">
        <v>0</v>
      </c>
      <c r="G48">
        <f t="shared" si="0"/>
        <v>0</v>
      </c>
    </row>
    <row r="49" spans="1:7">
      <c r="A49" s="1">
        <f t="shared" si="2"/>
        <v>45400</v>
      </c>
      <c r="B49" t="s">
        <v>54</v>
      </c>
      <c r="C49" t="s">
        <v>15</v>
      </c>
      <c r="D49" t="s">
        <v>7</v>
      </c>
      <c r="E49">
        <v>120</v>
      </c>
      <c r="F49">
        <v>0</v>
      </c>
      <c r="G49">
        <f t="shared" si="0"/>
        <v>0</v>
      </c>
    </row>
    <row r="50" spans="1:7">
      <c r="A50" s="1">
        <f t="shared" si="2"/>
        <v>45401</v>
      </c>
      <c r="B50" t="s">
        <v>54</v>
      </c>
      <c r="C50" t="s">
        <v>15</v>
      </c>
      <c r="D50" t="s">
        <v>7</v>
      </c>
      <c r="E50">
        <v>120</v>
      </c>
      <c r="F50">
        <v>1</v>
      </c>
      <c r="G50">
        <f t="shared" si="0"/>
        <v>120</v>
      </c>
    </row>
    <row r="51" spans="1:7">
      <c r="A51" s="1">
        <f t="shared" si="2"/>
        <v>45402</v>
      </c>
      <c r="B51" t="s">
        <v>54</v>
      </c>
      <c r="C51" t="s">
        <v>15</v>
      </c>
      <c r="D51" t="s">
        <v>7</v>
      </c>
      <c r="E51">
        <v>120</v>
      </c>
      <c r="F51">
        <v>0</v>
      </c>
      <c r="G51">
        <f t="shared" si="0"/>
        <v>0</v>
      </c>
    </row>
    <row r="52" spans="1:7">
      <c r="A52" s="1">
        <f t="shared" si="2"/>
        <v>45403</v>
      </c>
      <c r="B52" t="s">
        <v>54</v>
      </c>
      <c r="C52" t="s">
        <v>15</v>
      </c>
      <c r="D52" t="s">
        <v>7</v>
      </c>
      <c r="E52">
        <v>120</v>
      </c>
      <c r="F52">
        <v>0</v>
      </c>
      <c r="G52">
        <f t="shared" si="0"/>
        <v>0</v>
      </c>
    </row>
    <row r="53" spans="1:7">
      <c r="A53" s="1">
        <f t="shared" si="2"/>
        <v>45404</v>
      </c>
      <c r="B53" t="s">
        <v>54</v>
      </c>
      <c r="C53" t="s">
        <v>15</v>
      </c>
      <c r="D53" t="s">
        <v>7</v>
      </c>
      <c r="E53">
        <v>120</v>
      </c>
      <c r="F53">
        <v>0</v>
      </c>
      <c r="G53">
        <f t="shared" si="0"/>
        <v>0</v>
      </c>
    </row>
    <row r="54" spans="1:7">
      <c r="A54" s="1">
        <f t="shared" si="2"/>
        <v>45405</v>
      </c>
      <c r="B54" t="s">
        <v>54</v>
      </c>
      <c r="C54" t="s">
        <v>15</v>
      </c>
      <c r="D54" t="s">
        <v>7</v>
      </c>
      <c r="E54">
        <v>120</v>
      </c>
      <c r="F54">
        <v>0</v>
      </c>
      <c r="G54">
        <f t="shared" si="0"/>
        <v>0</v>
      </c>
    </row>
    <row r="55" spans="1:7">
      <c r="A55" s="1">
        <f t="shared" si="2"/>
        <v>45406</v>
      </c>
      <c r="B55" t="s">
        <v>54</v>
      </c>
      <c r="C55" t="s">
        <v>15</v>
      </c>
      <c r="D55" t="s">
        <v>7</v>
      </c>
      <c r="E55">
        <v>120</v>
      </c>
      <c r="F55">
        <v>1</v>
      </c>
      <c r="G55">
        <f t="shared" si="0"/>
        <v>120</v>
      </c>
    </row>
    <row r="56" spans="1:7">
      <c r="A56" s="1">
        <f t="shared" si="2"/>
        <v>45407</v>
      </c>
      <c r="B56" t="s">
        <v>54</v>
      </c>
      <c r="C56" t="s">
        <v>15</v>
      </c>
      <c r="D56" t="s">
        <v>7</v>
      </c>
      <c r="E56">
        <v>120</v>
      </c>
      <c r="F56">
        <v>0</v>
      </c>
      <c r="G56">
        <f t="shared" si="0"/>
        <v>0</v>
      </c>
    </row>
    <row r="57" spans="1:7">
      <c r="A57" s="1">
        <f t="shared" si="2"/>
        <v>45408</v>
      </c>
      <c r="B57" t="s">
        <v>54</v>
      </c>
      <c r="C57" t="s">
        <v>15</v>
      </c>
      <c r="D57" t="s">
        <v>7</v>
      </c>
      <c r="E57">
        <v>120</v>
      </c>
      <c r="F57">
        <v>0</v>
      </c>
      <c r="G57">
        <f t="shared" si="0"/>
        <v>0</v>
      </c>
    </row>
    <row r="58" spans="1:7">
      <c r="A58" s="1">
        <f t="shared" si="2"/>
        <v>45409</v>
      </c>
      <c r="B58" t="s">
        <v>54</v>
      </c>
      <c r="C58" t="s">
        <v>15</v>
      </c>
      <c r="D58" t="s">
        <v>7</v>
      </c>
      <c r="E58">
        <v>120</v>
      </c>
      <c r="F58">
        <v>0</v>
      </c>
      <c r="G58">
        <f t="shared" si="0"/>
        <v>0</v>
      </c>
    </row>
    <row r="59" spans="1:7">
      <c r="A59" s="1">
        <f t="shared" si="2"/>
        <v>45410</v>
      </c>
      <c r="B59" t="s">
        <v>54</v>
      </c>
      <c r="C59" t="s">
        <v>15</v>
      </c>
      <c r="D59" t="s">
        <v>7</v>
      </c>
      <c r="E59">
        <v>120</v>
      </c>
      <c r="F59">
        <v>0</v>
      </c>
      <c r="G59">
        <f t="shared" si="0"/>
        <v>0</v>
      </c>
    </row>
    <row r="60" spans="1:7">
      <c r="A60" s="1">
        <f t="shared" si="2"/>
        <v>45411</v>
      </c>
      <c r="B60" t="s">
        <v>54</v>
      </c>
      <c r="C60" t="s">
        <v>15</v>
      </c>
      <c r="D60" t="s">
        <v>7</v>
      </c>
      <c r="E60">
        <v>120</v>
      </c>
      <c r="F60">
        <v>1</v>
      </c>
      <c r="G60">
        <f t="shared" si="0"/>
        <v>120</v>
      </c>
    </row>
    <row r="61" spans="1:7">
      <c r="A61" s="1">
        <f t="shared" si="2"/>
        <v>45412</v>
      </c>
      <c r="B61" t="s">
        <v>54</v>
      </c>
      <c r="C61" t="s">
        <v>15</v>
      </c>
      <c r="D61" t="s">
        <v>7</v>
      </c>
      <c r="E61">
        <v>120</v>
      </c>
      <c r="F61">
        <v>0</v>
      </c>
      <c r="G61">
        <f t="shared" si="0"/>
        <v>0</v>
      </c>
    </row>
    <row r="62" spans="1:7">
      <c r="A62" s="1">
        <v>45383</v>
      </c>
      <c r="B62" t="s">
        <v>54</v>
      </c>
      <c r="C62" t="s">
        <v>15</v>
      </c>
      <c r="D62" t="s">
        <v>8</v>
      </c>
      <c r="E62">
        <v>0.25</v>
      </c>
      <c r="F62" s="7">
        <v>0</v>
      </c>
      <c r="G62">
        <f t="shared" si="0"/>
        <v>0</v>
      </c>
    </row>
    <row r="63" spans="1:7">
      <c r="A63" s="1">
        <f>A62+1</f>
        <v>45384</v>
      </c>
      <c r="B63" t="s">
        <v>54</v>
      </c>
      <c r="C63" t="s">
        <v>15</v>
      </c>
      <c r="D63" t="s">
        <v>8</v>
      </c>
      <c r="E63">
        <v>0.25</v>
      </c>
      <c r="F63" s="7">
        <v>0</v>
      </c>
      <c r="G63">
        <f t="shared" si="0"/>
        <v>0</v>
      </c>
    </row>
    <row r="64" spans="1:7">
      <c r="A64" s="1">
        <f t="shared" ref="A64:A91" si="3">A63+1</f>
        <v>45385</v>
      </c>
      <c r="B64" t="s">
        <v>54</v>
      </c>
      <c r="C64" t="s">
        <v>15</v>
      </c>
      <c r="D64" t="s">
        <v>8</v>
      </c>
      <c r="E64">
        <v>0.25</v>
      </c>
      <c r="F64" s="7">
        <v>0</v>
      </c>
      <c r="G64">
        <f t="shared" si="0"/>
        <v>0</v>
      </c>
    </row>
    <row r="65" spans="1:7">
      <c r="A65" s="1">
        <f t="shared" si="3"/>
        <v>45386</v>
      </c>
      <c r="B65" t="s">
        <v>54</v>
      </c>
      <c r="C65" t="s">
        <v>15</v>
      </c>
      <c r="D65" t="s">
        <v>8</v>
      </c>
      <c r="E65">
        <v>0.25</v>
      </c>
      <c r="F65" s="7">
        <v>0</v>
      </c>
      <c r="G65">
        <f t="shared" si="0"/>
        <v>0</v>
      </c>
    </row>
    <row r="66" spans="1:7">
      <c r="A66" s="1">
        <f t="shared" si="3"/>
        <v>45387</v>
      </c>
      <c r="B66" t="s">
        <v>54</v>
      </c>
      <c r="C66" t="s">
        <v>15</v>
      </c>
      <c r="D66" t="s">
        <v>8</v>
      </c>
      <c r="E66">
        <v>0.25</v>
      </c>
      <c r="F66" s="7">
        <v>0</v>
      </c>
      <c r="G66">
        <f t="shared" si="0"/>
        <v>0</v>
      </c>
    </row>
    <row r="67" spans="1:7">
      <c r="A67" s="1">
        <f t="shared" si="3"/>
        <v>45388</v>
      </c>
      <c r="B67" t="s">
        <v>54</v>
      </c>
      <c r="C67" t="s">
        <v>15</v>
      </c>
      <c r="D67" t="s">
        <v>8</v>
      </c>
      <c r="E67">
        <v>0.25</v>
      </c>
      <c r="F67" s="7">
        <v>0</v>
      </c>
      <c r="G67">
        <f t="shared" ref="G67:G130" si="4">F67*E67</f>
        <v>0</v>
      </c>
    </row>
    <row r="68" spans="1:7">
      <c r="A68" s="1">
        <f t="shared" si="3"/>
        <v>45389</v>
      </c>
      <c r="B68" t="s">
        <v>54</v>
      </c>
      <c r="C68" t="s">
        <v>15</v>
      </c>
      <c r="D68" t="s">
        <v>8</v>
      </c>
      <c r="E68">
        <v>0.25</v>
      </c>
      <c r="F68" s="7">
        <v>0</v>
      </c>
      <c r="G68">
        <f t="shared" si="4"/>
        <v>0</v>
      </c>
    </row>
    <row r="69" spans="1:7">
      <c r="A69" s="1">
        <f t="shared" si="3"/>
        <v>45390</v>
      </c>
      <c r="B69" t="s">
        <v>54</v>
      </c>
      <c r="C69" t="s">
        <v>15</v>
      </c>
      <c r="D69" t="s">
        <v>8</v>
      </c>
      <c r="E69">
        <v>0.25</v>
      </c>
      <c r="F69" s="7">
        <v>0</v>
      </c>
      <c r="G69">
        <f t="shared" si="4"/>
        <v>0</v>
      </c>
    </row>
    <row r="70" spans="1:7">
      <c r="A70" s="1">
        <f t="shared" si="3"/>
        <v>45391</v>
      </c>
      <c r="B70" t="s">
        <v>54</v>
      </c>
      <c r="C70" t="s">
        <v>15</v>
      </c>
      <c r="D70" t="s">
        <v>8</v>
      </c>
      <c r="E70">
        <v>0.25</v>
      </c>
      <c r="F70" s="7">
        <v>0</v>
      </c>
      <c r="G70">
        <f t="shared" si="4"/>
        <v>0</v>
      </c>
    </row>
    <row r="71" spans="1:7">
      <c r="A71" s="1">
        <f t="shared" si="3"/>
        <v>45392</v>
      </c>
      <c r="B71" t="s">
        <v>54</v>
      </c>
      <c r="C71" t="s">
        <v>15</v>
      </c>
      <c r="D71" t="s">
        <v>8</v>
      </c>
      <c r="E71">
        <v>0.25</v>
      </c>
      <c r="F71" s="7">
        <v>0</v>
      </c>
      <c r="G71">
        <f t="shared" si="4"/>
        <v>0</v>
      </c>
    </row>
    <row r="72" spans="1:7">
      <c r="A72" s="1">
        <f t="shared" si="3"/>
        <v>45393</v>
      </c>
      <c r="B72" t="s">
        <v>54</v>
      </c>
      <c r="C72" t="s">
        <v>15</v>
      </c>
      <c r="D72" t="s">
        <v>8</v>
      </c>
      <c r="E72">
        <v>0.25</v>
      </c>
      <c r="F72" s="7">
        <v>0</v>
      </c>
      <c r="G72">
        <f t="shared" si="4"/>
        <v>0</v>
      </c>
    </row>
    <row r="73" spans="1:7">
      <c r="A73" s="1">
        <f t="shared" si="3"/>
        <v>45394</v>
      </c>
      <c r="B73" t="s">
        <v>54</v>
      </c>
      <c r="C73" t="s">
        <v>15</v>
      </c>
      <c r="D73" t="s">
        <v>8</v>
      </c>
      <c r="E73">
        <v>0.25</v>
      </c>
      <c r="F73" s="7">
        <v>0</v>
      </c>
      <c r="G73">
        <f t="shared" si="4"/>
        <v>0</v>
      </c>
    </row>
    <row r="74" spans="1:7">
      <c r="A74" s="1">
        <f t="shared" si="3"/>
        <v>45395</v>
      </c>
      <c r="B74" t="s">
        <v>54</v>
      </c>
      <c r="C74" t="s">
        <v>15</v>
      </c>
      <c r="D74" t="s">
        <v>8</v>
      </c>
      <c r="E74">
        <v>0.25</v>
      </c>
      <c r="F74" s="7">
        <v>0</v>
      </c>
      <c r="G74">
        <f t="shared" si="4"/>
        <v>0</v>
      </c>
    </row>
    <row r="75" spans="1:7">
      <c r="A75" s="1">
        <f t="shared" si="3"/>
        <v>45396</v>
      </c>
      <c r="B75" t="s">
        <v>54</v>
      </c>
      <c r="C75" t="s">
        <v>15</v>
      </c>
      <c r="D75" t="s">
        <v>8</v>
      </c>
      <c r="E75">
        <v>0.25</v>
      </c>
      <c r="F75" s="7">
        <v>0</v>
      </c>
      <c r="G75">
        <f t="shared" si="4"/>
        <v>0</v>
      </c>
    </row>
    <row r="76" spans="1:7">
      <c r="A76" s="1">
        <f t="shared" si="3"/>
        <v>45397</v>
      </c>
      <c r="B76" t="s">
        <v>54</v>
      </c>
      <c r="C76" t="s">
        <v>15</v>
      </c>
      <c r="D76" t="s">
        <v>8</v>
      </c>
      <c r="E76">
        <v>0.25</v>
      </c>
      <c r="F76" s="7">
        <v>0</v>
      </c>
      <c r="G76">
        <f t="shared" si="4"/>
        <v>0</v>
      </c>
    </row>
    <row r="77" spans="1:7">
      <c r="A77" s="1">
        <f t="shared" si="3"/>
        <v>45398</v>
      </c>
      <c r="B77" t="s">
        <v>54</v>
      </c>
      <c r="C77" t="s">
        <v>15</v>
      </c>
      <c r="D77" t="s">
        <v>8</v>
      </c>
      <c r="E77">
        <v>0.25</v>
      </c>
      <c r="F77" s="7">
        <v>1</v>
      </c>
      <c r="G77">
        <f t="shared" si="4"/>
        <v>0.25</v>
      </c>
    </row>
    <row r="78" spans="1:7">
      <c r="A78" s="1">
        <f t="shared" si="3"/>
        <v>45399</v>
      </c>
      <c r="B78" t="s">
        <v>54</v>
      </c>
      <c r="C78" t="s">
        <v>15</v>
      </c>
      <c r="D78" t="s">
        <v>8</v>
      </c>
      <c r="E78">
        <v>0.25</v>
      </c>
      <c r="F78" s="7">
        <v>0</v>
      </c>
      <c r="G78">
        <f t="shared" si="4"/>
        <v>0</v>
      </c>
    </row>
    <row r="79" spans="1:7">
      <c r="A79" s="1">
        <f t="shared" si="3"/>
        <v>45400</v>
      </c>
      <c r="B79" t="s">
        <v>54</v>
      </c>
      <c r="C79" t="s">
        <v>15</v>
      </c>
      <c r="D79" t="s">
        <v>8</v>
      </c>
      <c r="E79">
        <v>0.25</v>
      </c>
      <c r="F79" s="7">
        <v>0</v>
      </c>
      <c r="G79">
        <f t="shared" si="4"/>
        <v>0</v>
      </c>
    </row>
    <row r="80" spans="1:7">
      <c r="A80" s="1">
        <f t="shared" si="3"/>
        <v>45401</v>
      </c>
      <c r="B80" t="s">
        <v>54</v>
      </c>
      <c r="C80" t="s">
        <v>15</v>
      </c>
      <c r="D80" t="s">
        <v>8</v>
      </c>
      <c r="E80">
        <v>0.25</v>
      </c>
      <c r="F80" s="7">
        <v>0</v>
      </c>
      <c r="G80">
        <f t="shared" si="4"/>
        <v>0</v>
      </c>
    </row>
    <row r="81" spans="1:7">
      <c r="A81" s="1">
        <f t="shared" si="3"/>
        <v>45402</v>
      </c>
      <c r="B81" t="s">
        <v>54</v>
      </c>
      <c r="C81" t="s">
        <v>15</v>
      </c>
      <c r="D81" t="s">
        <v>8</v>
      </c>
      <c r="E81">
        <v>0.25</v>
      </c>
      <c r="F81" s="7">
        <v>0</v>
      </c>
      <c r="G81">
        <f t="shared" si="4"/>
        <v>0</v>
      </c>
    </row>
    <row r="82" spans="1:7">
      <c r="A82" s="1">
        <f t="shared" si="3"/>
        <v>45403</v>
      </c>
      <c r="B82" t="s">
        <v>54</v>
      </c>
      <c r="C82" t="s">
        <v>15</v>
      </c>
      <c r="D82" t="s">
        <v>8</v>
      </c>
      <c r="E82">
        <v>0.25</v>
      </c>
      <c r="F82" s="7">
        <v>0</v>
      </c>
      <c r="G82">
        <f t="shared" si="4"/>
        <v>0</v>
      </c>
    </row>
    <row r="83" spans="1:7">
      <c r="A83" s="1">
        <f t="shared" si="3"/>
        <v>45404</v>
      </c>
      <c r="B83" t="s">
        <v>54</v>
      </c>
      <c r="C83" t="s">
        <v>15</v>
      </c>
      <c r="D83" t="s">
        <v>8</v>
      </c>
      <c r="E83">
        <v>0.25</v>
      </c>
      <c r="F83" s="7">
        <v>0</v>
      </c>
      <c r="G83">
        <f t="shared" si="4"/>
        <v>0</v>
      </c>
    </row>
    <row r="84" spans="1:7">
      <c r="A84" s="1">
        <f t="shared" si="3"/>
        <v>45405</v>
      </c>
      <c r="B84" t="s">
        <v>54</v>
      </c>
      <c r="C84" t="s">
        <v>15</v>
      </c>
      <c r="D84" t="s">
        <v>8</v>
      </c>
      <c r="E84">
        <v>0.25</v>
      </c>
      <c r="F84" s="7">
        <v>0</v>
      </c>
      <c r="G84">
        <f t="shared" si="4"/>
        <v>0</v>
      </c>
    </row>
    <row r="85" spans="1:7">
      <c r="A85" s="1">
        <f t="shared" si="3"/>
        <v>45406</v>
      </c>
      <c r="B85" t="s">
        <v>54</v>
      </c>
      <c r="C85" t="s">
        <v>15</v>
      </c>
      <c r="D85" t="s">
        <v>8</v>
      </c>
      <c r="E85">
        <v>0.25</v>
      </c>
      <c r="F85" s="7">
        <v>0</v>
      </c>
      <c r="G85">
        <f t="shared" si="4"/>
        <v>0</v>
      </c>
    </row>
    <row r="86" spans="1:7">
      <c r="A86" s="1">
        <f t="shared" si="3"/>
        <v>45407</v>
      </c>
      <c r="B86" t="s">
        <v>54</v>
      </c>
      <c r="C86" t="s">
        <v>15</v>
      </c>
      <c r="D86" t="s">
        <v>8</v>
      </c>
      <c r="E86">
        <v>0.25</v>
      </c>
      <c r="F86" s="7">
        <v>0</v>
      </c>
      <c r="G86">
        <f t="shared" si="4"/>
        <v>0</v>
      </c>
    </row>
    <row r="87" spans="1:7">
      <c r="A87" s="1">
        <f t="shared" si="3"/>
        <v>45408</v>
      </c>
      <c r="B87" t="s">
        <v>54</v>
      </c>
      <c r="C87" t="s">
        <v>15</v>
      </c>
      <c r="D87" t="s">
        <v>8</v>
      </c>
      <c r="E87">
        <v>0.25</v>
      </c>
      <c r="F87" s="7">
        <v>0</v>
      </c>
      <c r="G87">
        <f t="shared" si="4"/>
        <v>0</v>
      </c>
    </row>
    <row r="88" spans="1:7">
      <c r="A88" s="1">
        <f t="shared" si="3"/>
        <v>45409</v>
      </c>
      <c r="B88" t="s">
        <v>54</v>
      </c>
      <c r="C88" t="s">
        <v>15</v>
      </c>
      <c r="D88" t="s">
        <v>8</v>
      </c>
      <c r="E88">
        <v>0.25</v>
      </c>
      <c r="F88" s="7">
        <v>0</v>
      </c>
      <c r="G88">
        <f t="shared" si="4"/>
        <v>0</v>
      </c>
    </row>
    <row r="89" spans="1:7">
      <c r="A89" s="1">
        <f t="shared" si="3"/>
        <v>45410</v>
      </c>
      <c r="B89" t="s">
        <v>54</v>
      </c>
      <c r="C89" t="s">
        <v>15</v>
      </c>
      <c r="D89" t="s">
        <v>8</v>
      </c>
      <c r="E89">
        <v>0.25</v>
      </c>
      <c r="F89" s="7">
        <v>0</v>
      </c>
      <c r="G89">
        <f t="shared" si="4"/>
        <v>0</v>
      </c>
    </row>
    <row r="90" spans="1:7">
      <c r="A90" s="1">
        <f t="shared" si="3"/>
        <v>45411</v>
      </c>
      <c r="B90" t="s">
        <v>54</v>
      </c>
      <c r="C90" t="s">
        <v>15</v>
      </c>
      <c r="D90" t="s">
        <v>8</v>
      </c>
      <c r="E90">
        <v>0.25</v>
      </c>
      <c r="F90" s="7">
        <v>0</v>
      </c>
      <c r="G90">
        <f t="shared" si="4"/>
        <v>0</v>
      </c>
    </row>
    <row r="91" spans="1:7">
      <c r="A91" s="1">
        <f t="shared" si="3"/>
        <v>45412</v>
      </c>
      <c r="B91" t="s">
        <v>54</v>
      </c>
      <c r="C91" t="s">
        <v>15</v>
      </c>
      <c r="D91" t="s">
        <v>8</v>
      </c>
      <c r="E91">
        <v>0.25</v>
      </c>
      <c r="F91" s="7">
        <v>0</v>
      </c>
      <c r="G91">
        <f t="shared" si="4"/>
        <v>0</v>
      </c>
    </row>
    <row r="92" spans="1:7">
      <c r="A92" s="1">
        <v>45383</v>
      </c>
      <c r="B92" t="s">
        <v>54</v>
      </c>
      <c r="C92" t="s">
        <v>15</v>
      </c>
      <c r="D92" t="s">
        <v>9</v>
      </c>
      <c r="E92">
        <v>69.52</v>
      </c>
      <c r="F92" s="7">
        <v>2</v>
      </c>
      <c r="G92">
        <f t="shared" si="4"/>
        <v>139.04</v>
      </c>
    </row>
    <row r="93" spans="1:7">
      <c r="A93" s="1">
        <f>A92+1</f>
        <v>45384</v>
      </c>
      <c r="B93" t="s">
        <v>54</v>
      </c>
      <c r="C93" t="s">
        <v>15</v>
      </c>
      <c r="D93" t="s">
        <v>9</v>
      </c>
      <c r="E93">
        <v>69.52</v>
      </c>
      <c r="F93" s="7">
        <v>2</v>
      </c>
      <c r="G93">
        <f t="shared" si="4"/>
        <v>139.04</v>
      </c>
    </row>
    <row r="94" spans="1:7">
      <c r="A94" s="1">
        <f t="shared" ref="A94:A121" si="5">A93+1</f>
        <v>45385</v>
      </c>
      <c r="B94" t="s">
        <v>54</v>
      </c>
      <c r="C94" t="s">
        <v>15</v>
      </c>
      <c r="D94" t="s">
        <v>9</v>
      </c>
      <c r="E94">
        <v>69.52</v>
      </c>
      <c r="F94" s="7">
        <v>2</v>
      </c>
      <c r="G94">
        <f t="shared" si="4"/>
        <v>139.04</v>
      </c>
    </row>
    <row r="95" spans="1:7">
      <c r="A95" s="1">
        <f t="shared" si="5"/>
        <v>45386</v>
      </c>
      <c r="B95" t="s">
        <v>54</v>
      </c>
      <c r="C95" t="s">
        <v>15</v>
      </c>
      <c r="D95" t="s">
        <v>9</v>
      </c>
      <c r="E95">
        <v>69.52</v>
      </c>
      <c r="F95" s="7">
        <v>2</v>
      </c>
      <c r="G95">
        <f t="shared" si="4"/>
        <v>139.04</v>
      </c>
    </row>
    <row r="96" spans="1:7">
      <c r="A96" s="1">
        <f t="shared" si="5"/>
        <v>45387</v>
      </c>
      <c r="B96" t="s">
        <v>54</v>
      </c>
      <c r="C96" t="s">
        <v>15</v>
      </c>
      <c r="D96" t="s">
        <v>9</v>
      </c>
      <c r="E96">
        <v>69.52</v>
      </c>
      <c r="F96" s="7">
        <v>2</v>
      </c>
      <c r="G96">
        <f t="shared" si="4"/>
        <v>139.04</v>
      </c>
    </row>
    <row r="97" spans="1:7">
      <c r="A97" s="1">
        <f t="shared" si="5"/>
        <v>45388</v>
      </c>
      <c r="B97" t="s">
        <v>54</v>
      </c>
      <c r="C97" t="s">
        <v>15</v>
      </c>
      <c r="D97" t="s">
        <v>9</v>
      </c>
      <c r="E97">
        <v>69.52</v>
      </c>
      <c r="F97" s="7">
        <v>0</v>
      </c>
      <c r="G97">
        <f t="shared" si="4"/>
        <v>0</v>
      </c>
    </row>
    <row r="98" spans="1:7">
      <c r="A98" s="1">
        <f t="shared" si="5"/>
        <v>45389</v>
      </c>
      <c r="B98" t="s">
        <v>54</v>
      </c>
      <c r="C98" t="s">
        <v>15</v>
      </c>
      <c r="D98" t="s">
        <v>9</v>
      </c>
      <c r="E98">
        <v>69.52</v>
      </c>
      <c r="F98" s="7">
        <v>0</v>
      </c>
      <c r="G98">
        <f t="shared" si="4"/>
        <v>0</v>
      </c>
    </row>
    <row r="99" spans="1:7">
      <c r="A99" s="1">
        <f t="shared" si="5"/>
        <v>45390</v>
      </c>
      <c r="B99" t="s">
        <v>54</v>
      </c>
      <c r="C99" t="s">
        <v>15</v>
      </c>
      <c r="D99" t="s">
        <v>9</v>
      </c>
      <c r="E99">
        <v>69.52</v>
      </c>
      <c r="F99" s="7">
        <v>2</v>
      </c>
      <c r="G99">
        <f t="shared" si="4"/>
        <v>139.04</v>
      </c>
    </row>
    <row r="100" spans="1:7">
      <c r="A100" s="1">
        <f t="shared" si="5"/>
        <v>45391</v>
      </c>
      <c r="B100" t="s">
        <v>54</v>
      </c>
      <c r="C100" t="s">
        <v>15</v>
      </c>
      <c r="D100" t="s">
        <v>9</v>
      </c>
      <c r="E100">
        <v>69.52</v>
      </c>
      <c r="F100" s="7">
        <v>2</v>
      </c>
      <c r="G100">
        <f t="shared" si="4"/>
        <v>139.04</v>
      </c>
    </row>
    <row r="101" spans="1:7">
      <c r="A101" s="1">
        <f t="shared" si="5"/>
        <v>45392</v>
      </c>
      <c r="B101" t="s">
        <v>54</v>
      </c>
      <c r="C101" t="s">
        <v>15</v>
      </c>
      <c r="D101" t="s">
        <v>9</v>
      </c>
      <c r="E101">
        <v>69.52</v>
      </c>
      <c r="F101" s="7">
        <v>2</v>
      </c>
      <c r="G101">
        <f t="shared" si="4"/>
        <v>139.04</v>
      </c>
    </row>
    <row r="102" spans="1:7">
      <c r="A102" s="1">
        <f t="shared" si="5"/>
        <v>45393</v>
      </c>
      <c r="B102" t="s">
        <v>54</v>
      </c>
      <c r="C102" t="s">
        <v>15</v>
      </c>
      <c r="D102" t="s">
        <v>9</v>
      </c>
      <c r="E102">
        <v>69.52</v>
      </c>
      <c r="F102" s="7">
        <v>2</v>
      </c>
      <c r="G102">
        <f t="shared" si="4"/>
        <v>139.04</v>
      </c>
    </row>
    <row r="103" spans="1:7">
      <c r="A103" s="1">
        <f t="shared" si="5"/>
        <v>45394</v>
      </c>
      <c r="B103" t="s">
        <v>54</v>
      </c>
      <c r="C103" t="s">
        <v>15</v>
      </c>
      <c r="D103" t="s">
        <v>9</v>
      </c>
      <c r="E103">
        <v>69.52</v>
      </c>
      <c r="F103" s="7">
        <v>2</v>
      </c>
      <c r="G103">
        <f t="shared" si="4"/>
        <v>139.04</v>
      </c>
    </row>
    <row r="104" spans="1:7">
      <c r="A104" s="1">
        <f t="shared" si="5"/>
        <v>45395</v>
      </c>
      <c r="B104" t="s">
        <v>54</v>
      </c>
      <c r="C104" t="s">
        <v>15</v>
      </c>
      <c r="D104" t="s">
        <v>9</v>
      </c>
      <c r="E104">
        <v>69.52</v>
      </c>
      <c r="F104" s="7">
        <v>0</v>
      </c>
      <c r="G104">
        <f t="shared" si="4"/>
        <v>0</v>
      </c>
    </row>
    <row r="105" spans="1:7">
      <c r="A105" s="1">
        <f t="shared" si="5"/>
        <v>45396</v>
      </c>
      <c r="B105" t="s">
        <v>54</v>
      </c>
      <c r="C105" t="s">
        <v>15</v>
      </c>
      <c r="D105" t="s">
        <v>9</v>
      </c>
      <c r="E105">
        <v>69.52</v>
      </c>
      <c r="F105" s="7">
        <v>0</v>
      </c>
      <c r="G105">
        <f t="shared" si="4"/>
        <v>0</v>
      </c>
    </row>
    <row r="106" spans="1:7">
      <c r="A106" s="1">
        <f t="shared" si="5"/>
        <v>45397</v>
      </c>
      <c r="B106" t="s">
        <v>54</v>
      </c>
      <c r="C106" t="s">
        <v>15</v>
      </c>
      <c r="D106" t="s">
        <v>9</v>
      </c>
      <c r="E106">
        <v>69.52</v>
      </c>
      <c r="F106" s="7">
        <v>2</v>
      </c>
      <c r="G106">
        <f t="shared" si="4"/>
        <v>139.04</v>
      </c>
    </row>
    <row r="107" spans="1:7">
      <c r="A107" s="1">
        <f t="shared" si="5"/>
        <v>45398</v>
      </c>
      <c r="B107" t="s">
        <v>54</v>
      </c>
      <c r="C107" t="s">
        <v>15</v>
      </c>
      <c r="D107" t="s">
        <v>9</v>
      </c>
      <c r="E107">
        <v>69.52</v>
      </c>
      <c r="F107" s="7">
        <v>2</v>
      </c>
      <c r="G107">
        <f t="shared" si="4"/>
        <v>139.04</v>
      </c>
    </row>
    <row r="108" spans="1:7">
      <c r="A108" s="1">
        <f t="shared" si="5"/>
        <v>45399</v>
      </c>
      <c r="B108" t="s">
        <v>54</v>
      </c>
      <c r="C108" t="s">
        <v>15</v>
      </c>
      <c r="D108" t="s">
        <v>9</v>
      </c>
      <c r="E108">
        <v>69.52</v>
      </c>
      <c r="F108" s="7">
        <v>2</v>
      </c>
      <c r="G108">
        <f t="shared" si="4"/>
        <v>139.04</v>
      </c>
    </row>
    <row r="109" spans="1:7">
      <c r="A109" s="1">
        <f t="shared" si="5"/>
        <v>45400</v>
      </c>
      <c r="B109" t="s">
        <v>54</v>
      </c>
      <c r="C109" t="s">
        <v>15</v>
      </c>
      <c r="D109" t="s">
        <v>9</v>
      </c>
      <c r="E109">
        <v>69.52</v>
      </c>
      <c r="F109" s="7">
        <v>2</v>
      </c>
      <c r="G109">
        <f t="shared" si="4"/>
        <v>139.04</v>
      </c>
    </row>
    <row r="110" spans="1:7">
      <c r="A110" s="1">
        <f t="shared" si="5"/>
        <v>45401</v>
      </c>
      <c r="B110" t="s">
        <v>54</v>
      </c>
      <c r="C110" t="s">
        <v>15</v>
      </c>
      <c r="D110" t="s">
        <v>9</v>
      </c>
      <c r="E110">
        <v>69.52</v>
      </c>
      <c r="F110" s="7">
        <v>2</v>
      </c>
      <c r="G110">
        <f t="shared" si="4"/>
        <v>139.04</v>
      </c>
    </row>
    <row r="111" spans="1:7">
      <c r="A111" s="1">
        <f t="shared" si="5"/>
        <v>45402</v>
      </c>
      <c r="B111" t="s">
        <v>54</v>
      </c>
      <c r="C111" t="s">
        <v>15</v>
      </c>
      <c r="D111" t="s">
        <v>9</v>
      </c>
      <c r="E111">
        <v>69.52</v>
      </c>
      <c r="F111" s="7">
        <v>0</v>
      </c>
      <c r="G111">
        <f t="shared" si="4"/>
        <v>0</v>
      </c>
    </row>
    <row r="112" spans="1:7">
      <c r="A112" s="1">
        <f t="shared" si="5"/>
        <v>45403</v>
      </c>
      <c r="B112" t="s">
        <v>54</v>
      </c>
      <c r="C112" t="s">
        <v>15</v>
      </c>
      <c r="D112" t="s">
        <v>9</v>
      </c>
      <c r="E112">
        <v>69.52</v>
      </c>
      <c r="F112" s="7">
        <v>0</v>
      </c>
      <c r="G112">
        <f t="shared" si="4"/>
        <v>0</v>
      </c>
    </row>
    <row r="113" spans="1:7">
      <c r="A113" s="1">
        <f t="shared" si="5"/>
        <v>45404</v>
      </c>
      <c r="B113" t="s">
        <v>54</v>
      </c>
      <c r="C113" t="s">
        <v>15</v>
      </c>
      <c r="D113" t="s">
        <v>9</v>
      </c>
      <c r="E113">
        <v>69.52</v>
      </c>
      <c r="F113" s="7">
        <v>2</v>
      </c>
      <c r="G113">
        <f t="shared" si="4"/>
        <v>139.04</v>
      </c>
    </row>
    <row r="114" spans="1:7">
      <c r="A114" s="1">
        <f t="shared" si="5"/>
        <v>45405</v>
      </c>
      <c r="B114" t="s">
        <v>54</v>
      </c>
      <c r="C114" t="s">
        <v>15</v>
      </c>
      <c r="D114" t="s">
        <v>9</v>
      </c>
      <c r="E114">
        <v>69.52</v>
      </c>
      <c r="F114" s="7">
        <v>1</v>
      </c>
      <c r="G114">
        <f t="shared" si="4"/>
        <v>69.52</v>
      </c>
    </row>
    <row r="115" spans="1:7">
      <c r="A115" s="1">
        <f t="shared" si="5"/>
        <v>45406</v>
      </c>
      <c r="B115" t="s">
        <v>54</v>
      </c>
      <c r="C115" t="s">
        <v>15</v>
      </c>
      <c r="D115" t="s">
        <v>9</v>
      </c>
      <c r="E115">
        <v>69.52</v>
      </c>
      <c r="F115" s="7">
        <v>1</v>
      </c>
      <c r="G115">
        <f t="shared" si="4"/>
        <v>69.52</v>
      </c>
    </row>
    <row r="116" spans="1:7">
      <c r="A116" s="1">
        <f t="shared" si="5"/>
        <v>45407</v>
      </c>
      <c r="B116" t="s">
        <v>54</v>
      </c>
      <c r="C116" t="s">
        <v>15</v>
      </c>
      <c r="D116" t="s">
        <v>9</v>
      </c>
      <c r="E116">
        <v>69.52</v>
      </c>
      <c r="F116" s="7">
        <v>1</v>
      </c>
      <c r="G116">
        <f t="shared" si="4"/>
        <v>69.52</v>
      </c>
    </row>
    <row r="117" spans="1:7">
      <c r="A117" s="1">
        <f t="shared" si="5"/>
        <v>45408</v>
      </c>
      <c r="B117" t="s">
        <v>54</v>
      </c>
      <c r="C117" t="s">
        <v>15</v>
      </c>
      <c r="D117" t="s">
        <v>9</v>
      </c>
      <c r="E117">
        <v>69.52</v>
      </c>
      <c r="F117" s="7">
        <v>2</v>
      </c>
      <c r="G117">
        <f t="shared" si="4"/>
        <v>139.04</v>
      </c>
    </row>
    <row r="118" spans="1:7">
      <c r="A118" s="1">
        <f t="shared" si="5"/>
        <v>45409</v>
      </c>
      <c r="B118" t="s">
        <v>54</v>
      </c>
      <c r="C118" t="s">
        <v>15</v>
      </c>
      <c r="D118" t="s">
        <v>9</v>
      </c>
      <c r="E118">
        <v>69.52</v>
      </c>
      <c r="F118" s="7">
        <v>0</v>
      </c>
      <c r="G118">
        <f t="shared" si="4"/>
        <v>0</v>
      </c>
    </row>
    <row r="119" spans="1:7">
      <c r="A119" s="1">
        <f t="shared" si="5"/>
        <v>45410</v>
      </c>
      <c r="B119" t="s">
        <v>54</v>
      </c>
      <c r="C119" t="s">
        <v>15</v>
      </c>
      <c r="D119" t="s">
        <v>9</v>
      </c>
      <c r="E119">
        <v>69.52</v>
      </c>
      <c r="F119" s="7">
        <v>0</v>
      </c>
      <c r="G119">
        <f t="shared" si="4"/>
        <v>0</v>
      </c>
    </row>
    <row r="120" spans="1:7">
      <c r="A120" s="1">
        <f t="shared" si="5"/>
        <v>45411</v>
      </c>
      <c r="B120" t="s">
        <v>54</v>
      </c>
      <c r="C120" t="s">
        <v>15</v>
      </c>
      <c r="D120" t="s">
        <v>9</v>
      </c>
      <c r="E120">
        <v>69.52</v>
      </c>
      <c r="F120" s="7">
        <v>2</v>
      </c>
      <c r="G120">
        <f t="shared" si="4"/>
        <v>139.04</v>
      </c>
    </row>
    <row r="121" spans="1:7">
      <c r="A121" s="1">
        <f t="shared" si="5"/>
        <v>45412</v>
      </c>
      <c r="B121" t="s">
        <v>54</v>
      </c>
      <c r="C121" t="s">
        <v>15</v>
      </c>
      <c r="D121" t="s">
        <v>9</v>
      </c>
      <c r="E121">
        <v>69.52</v>
      </c>
      <c r="F121" s="7">
        <v>2</v>
      </c>
      <c r="G121">
        <f t="shared" si="4"/>
        <v>139.04</v>
      </c>
    </row>
    <row r="122" spans="1:7">
      <c r="A122" s="1">
        <v>45505</v>
      </c>
      <c r="B122" t="s">
        <v>54</v>
      </c>
      <c r="C122" t="s">
        <v>40</v>
      </c>
      <c r="D122" t="s">
        <v>41</v>
      </c>
      <c r="E122">
        <v>160</v>
      </c>
      <c r="F122">
        <v>2</v>
      </c>
      <c r="G122">
        <f t="shared" si="4"/>
        <v>320</v>
      </c>
    </row>
    <row r="123" spans="1:7">
      <c r="A123" s="1">
        <v>45506</v>
      </c>
      <c r="B123" t="s">
        <v>54</v>
      </c>
      <c r="C123" t="s">
        <v>40</v>
      </c>
      <c r="D123" t="s">
        <v>41</v>
      </c>
      <c r="E123">
        <v>160</v>
      </c>
      <c r="F123">
        <v>1</v>
      </c>
      <c r="G123">
        <f t="shared" si="4"/>
        <v>160</v>
      </c>
    </row>
    <row r="124" spans="1:7">
      <c r="A124" s="1">
        <v>45507</v>
      </c>
      <c r="B124" t="s">
        <v>54</v>
      </c>
      <c r="C124" t="s">
        <v>40</v>
      </c>
      <c r="D124" t="s">
        <v>41</v>
      </c>
      <c r="E124">
        <v>160</v>
      </c>
      <c r="F124">
        <v>0</v>
      </c>
      <c r="G124">
        <f t="shared" si="4"/>
        <v>0</v>
      </c>
    </row>
    <row r="125" spans="1:7">
      <c r="A125" s="1">
        <v>45508</v>
      </c>
      <c r="B125" t="s">
        <v>54</v>
      </c>
      <c r="C125" t="s">
        <v>40</v>
      </c>
      <c r="D125" t="s">
        <v>41</v>
      </c>
      <c r="E125">
        <v>160</v>
      </c>
      <c r="F125">
        <v>0</v>
      </c>
      <c r="G125">
        <f t="shared" si="4"/>
        <v>0</v>
      </c>
    </row>
    <row r="126" spans="1:7">
      <c r="A126" s="1">
        <v>45509</v>
      </c>
      <c r="B126" t="s">
        <v>54</v>
      </c>
      <c r="C126" t="s">
        <v>40</v>
      </c>
      <c r="D126" t="s">
        <v>41</v>
      </c>
      <c r="E126">
        <v>160</v>
      </c>
      <c r="F126">
        <v>1</v>
      </c>
      <c r="G126">
        <f t="shared" si="4"/>
        <v>160</v>
      </c>
    </row>
    <row r="127" spans="1:7">
      <c r="A127" s="1">
        <v>45510</v>
      </c>
      <c r="B127" t="s">
        <v>54</v>
      </c>
      <c r="C127" t="s">
        <v>40</v>
      </c>
      <c r="D127" t="s">
        <v>41</v>
      </c>
      <c r="E127">
        <v>160</v>
      </c>
      <c r="F127">
        <v>2</v>
      </c>
      <c r="G127">
        <f t="shared" si="4"/>
        <v>320</v>
      </c>
    </row>
    <row r="128" spans="1:7">
      <c r="A128" s="1">
        <v>45511</v>
      </c>
      <c r="B128" t="s">
        <v>54</v>
      </c>
      <c r="C128" t="s">
        <v>40</v>
      </c>
      <c r="D128" t="s">
        <v>41</v>
      </c>
      <c r="E128">
        <v>160</v>
      </c>
      <c r="F128">
        <v>2</v>
      </c>
      <c r="G128">
        <f t="shared" si="4"/>
        <v>320</v>
      </c>
    </row>
    <row r="129" spans="1:7">
      <c r="A129" s="1">
        <v>45512</v>
      </c>
      <c r="B129" t="s">
        <v>54</v>
      </c>
      <c r="C129" t="s">
        <v>40</v>
      </c>
      <c r="D129" t="s">
        <v>41</v>
      </c>
      <c r="E129">
        <v>160</v>
      </c>
      <c r="F129">
        <v>1</v>
      </c>
      <c r="G129">
        <f t="shared" si="4"/>
        <v>160</v>
      </c>
    </row>
    <row r="130" spans="1:7">
      <c r="A130" s="1">
        <v>45513</v>
      </c>
      <c r="B130" t="s">
        <v>54</v>
      </c>
      <c r="C130" t="s">
        <v>40</v>
      </c>
      <c r="D130" t="s">
        <v>41</v>
      </c>
      <c r="E130">
        <v>160</v>
      </c>
      <c r="F130">
        <v>1</v>
      </c>
      <c r="G130">
        <f t="shared" si="4"/>
        <v>160</v>
      </c>
    </row>
    <row r="131" spans="1:7">
      <c r="A131" s="1">
        <v>45514</v>
      </c>
      <c r="B131" t="s">
        <v>54</v>
      </c>
      <c r="C131" t="s">
        <v>40</v>
      </c>
      <c r="D131" t="s">
        <v>41</v>
      </c>
      <c r="E131">
        <v>160</v>
      </c>
      <c r="F131">
        <v>0</v>
      </c>
      <c r="G131">
        <f t="shared" ref="G131:G194" si="6">F131*E131</f>
        <v>0</v>
      </c>
    </row>
    <row r="132" spans="1:7">
      <c r="A132" s="1">
        <v>45515</v>
      </c>
      <c r="B132" t="s">
        <v>54</v>
      </c>
      <c r="C132" t="s">
        <v>40</v>
      </c>
      <c r="D132" t="s">
        <v>41</v>
      </c>
      <c r="E132">
        <v>160</v>
      </c>
      <c r="F132">
        <v>0</v>
      </c>
      <c r="G132">
        <f t="shared" si="6"/>
        <v>0</v>
      </c>
    </row>
    <row r="133" spans="1:7">
      <c r="A133" s="1">
        <v>45516</v>
      </c>
      <c r="B133" t="s">
        <v>54</v>
      </c>
      <c r="C133" t="s">
        <v>40</v>
      </c>
      <c r="D133" t="s">
        <v>41</v>
      </c>
      <c r="E133">
        <v>160</v>
      </c>
      <c r="F133">
        <v>1</v>
      </c>
      <c r="G133">
        <f t="shared" si="6"/>
        <v>160</v>
      </c>
    </row>
    <row r="134" spans="1:7">
      <c r="A134" s="1">
        <v>45517</v>
      </c>
      <c r="B134" t="s">
        <v>54</v>
      </c>
      <c r="C134" t="s">
        <v>40</v>
      </c>
      <c r="D134" t="s">
        <v>41</v>
      </c>
      <c r="E134">
        <v>160</v>
      </c>
      <c r="F134">
        <v>1</v>
      </c>
      <c r="G134">
        <f t="shared" si="6"/>
        <v>160</v>
      </c>
    </row>
    <row r="135" spans="1:7">
      <c r="A135" s="1">
        <v>45518</v>
      </c>
      <c r="B135" t="s">
        <v>54</v>
      </c>
      <c r="C135" t="s">
        <v>40</v>
      </c>
      <c r="D135" t="s">
        <v>41</v>
      </c>
      <c r="E135">
        <v>160</v>
      </c>
      <c r="F135">
        <v>0</v>
      </c>
      <c r="G135">
        <f t="shared" si="6"/>
        <v>0</v>
      </c>
    </row>
    <row r="136" spans="1:7">
      <c r="A136" s="1">
        <v>45519</v>
      </c>
      <c r="B136" t="s">
        <v>54</v>
      </c>
      <c r="C136" t="s">
        <v>40</v>
      </c>
      <c r="D136" t="s">
        <v>41</v>
      </c>
      <c r="E136">
        <v>160</v>
      </c>
      <c r="F136">
        <v>1</v>
      </c>
      <c r="G136">
        <f t="shared" si="6"/>
        <v>160</v>
      </c>
    </row>
    <row r="137" spans="1:7">
      <c r="A137" s="1">
        <v>45520</v>
      </c>
      <c r="B137" t="s">
        <v>54</v>
      </c>
      <c r="C137" t="s">
        <v>40</v>
      </c>
      <c r="D137" t="s">
        <v>41</v>
      </c>
      <c r="E137">
        <v>160</v>
      </c>
      <c r="F137">
        <v>2</v>
      </c>
      <c r="G137">
        <f t="shared" si="6"/>
        <v>320</v>
      </c>
    </row>
    <row r="138" spans="1:7">
      <c r="A138" s="1">
        <v>45521</v>
      </c>
      <c r="B138" t="s">
        <v>54</v>
      </c>
      <c r="C138" t="s">
        <v>40</v>
      </c>
      <c r="D138" t="s">
        <v>41</v>
      </c>
      <c r="E138">
        <v>160</v>
      </c>
      <c r="F138">
        <v>0</v>
      </c>
      <c r="G138">
        <f t="shared" si="6"/>
        <v>0</v>
      </c>
    </row>
    <row r="139" spans="1:7">
      <c r="A139" s="1">
        <v>45522</v>
      </c>
      <c r="B139" t="s">
        <v>54</v>
      </c>
      <c r="C139" t="s">
        <v>40</v>
      </c>
      <c r="D139" t="s">
        <v>41</v>
      </c>
      <c r="E139">
        <v>160</v>
      </c>
      <c r="F139">
        <v>0</v>
      </c>
      <c r="G139">
        <f t="shared" si="6"/>
        <v>0</v>
      </c>
    </row>
    <row r="140" spans="1:7">
      <c r="A140" s="1">
        <v>45523</v>
      </c>
      <c r="B140" t="s">
        <v>54</v>
      </c>
      <c r="C140" t="s">
        <v>40</v>
      </c>
      <c r="D140" t="s">
        <v>41</v>
      </c>
      <c r="E140">
        <v>160</v>
      </c>
      <c r="F140">
        <v>1</v>
      </c>
      <c r="G140">
        <f t="shared" si="6"/>
        <v>160</v>
      </c>
    </row>
    <row r="141" spans="1:7">
      <c r="A141" s="1">
        <v>45524</v>
      </c>
      <c r="B141" t="s">
        <v>54</v>
      </c>
      <c r="C141" t="s">
        <v>40</v>
      </c>
      <c r="D141" t="s">
        <v>41</v>
      </c>
      <c r="E141">
        <v>160</v>
      </c>
      <c r="F141">
        <v>2</v>
      </c>
      <c r="G141">
        <f t="shared" si="6"/>
        <v>320</v>
      </c>
    </row>
    <row r="142" spans="1:7">
      <c r="A142" s="1">
        <v>45525</v>
      </c>
      <c r="B142" t="s">
        <v>54</v>
      </c>
      <c r="C142" t="s">
        <v>40</v>
      </c>
      <c r="D142" t="s">
        <v>41</v>
      </c>
      <c r="E142">
        <v>160</v>
      </c>
      <c r="F142">
        <v>1</v>
      </c>
      <c r="G142">
        <f t="shared" si="6"/>
        <v>160</v>
      </c>
    </row>
    <row r="143" spans="1:7">
      <c r="A143" s="1">
        <v>45526</v>
      </c>
      <c r="B143" t="s">
        <v>54</v>
      </c>
      <c r="C143" t="s">
        <v>40</v>
      </c>
      <c r="D143" t="s">
        <v>41</v>
      </c>
      <c r="E143">
        <v>160</v>
      </c>
      <c r="F143">
        <v>1</v>
      </c>
      <c r="G143">
        <f t="shared" si="6"/>
        <v>160</v>
      </c>
    </row>
    <row r="144" spans="1:7">
      <c r="A144" s="1">
        <v>45527</v>
      </c>
      <c r="B144" t="s">
        <v>54</v>
      </c>
      <c r="C144" t="s">
        <v>40</v>
      </c>
      <c r="D144" t="s">
        <v>41</v>
      </c>
      <c r="E144">
        <v>160</v>
      </c>
      <c r="F144">
        <v>1</v>
      </c>
      <c r="G144">
        <f t="shared" si="6"/>
        <v>160</v>
      </c>
    </row>
    <row r="145" spans="1:7">
      <c r="A145" s="1">
        <v>45528</v>
      </c>
      <c r="B145" t="s">
        <v>54</v>
      </c>
      <c r="C145" t="s">
        <v>40</v>
      </c>
      <c r="D145" t="s">
        <v>41</v>
      </c>
      <c r="E145">
        <v>160</v>
      </c>
      <c r="F145">
        <v>1</v>
      </c>
      <c r="G145">
        <f t="shared" si="6"/>
        <v>160</v>
      </c>
    </row>
    <row r="146" spans="1:7">
      <c r="A146" s="1">
        <v>45529</v>
      </c>
      <c r="B146" t="s">
        <v>54</v>
      </c>
      <c r="C146" t="s">
        <v>40</v>
      </c>
      <c r="D146" t="s">
        <v>41</v>
      </c>
      <c r="E146">
        <v>160</v>
      </c>
      <c r="F146">
        <v>0</v>
      </c>
      <c r="G146">
        <f t="shared" si="6"/>
        <v>0</v>
      </c>
    </row>
    <row r="147" spans="1:7">
      <c r="A147" s="1">
        <v>45530</v>
      </c>
      <c r="B147" t="s">
        <v>54</v>
      </c>
      <c r="C147" t="s">
        <v>40</v>
      </c>
      <c r="D147" t="s">
        <v>41</v>
      </c>
      <c r="E147">
        <v>160</v>
      </c>
      <c r="F147">
        <v>1</v>
      </c>
      <c r="G147">
        <f t="shared" si="6"/>
        <v>160</v>
      </c>
    </row>
    <row r="148" spans="1:7">
      <c r="A148" s="1">
        <v>45531</v>
      </c>
      <c r="B148" t="s">
        <v>54</v>
      </c>
      <c r="C148" t="s">
        <v>40</v>
      </c>
      <c r="D148" t="s">
        <v>41</v>
      </c>
      <c r="E148">
        <v>160</v>
      </c>
      <c r="F148">
        <v>2</v>
      </c>
      <c r="G148">
        <f t="shared" si="6"/>
        <v>320</v>
      </c>
    </row>
    <row r="149" spans="1:7">
      <c r="A149" s="1">
        <v>45532</v>
      </c>
      <c r="B149" t="s">
        <v>54</v>
      </c>
      <c r="C149" t="s">
        <v>40</v>
      </c>
      <c r="D149" t="s">
        <v>41</v>
      </c>
      <c r="E149">
        <v>160</v>
      </c>
      <c r="F149">
        <v>2</v>
      </c>
      <c r="G149">
        <f t="shared" si="6"/>
        <v>320</v>
      </c>
    </row>
    <row r="150" spans="1:7">
      <c r="A150" s="1">
        <v>45533</v>
      </c>
      <c r="B150" t="s">
        <v>54</v>
      </c>
      <c r="C150" t="s">
        <v>40</v>
      </c>
      <c r="D150" t="s">
        <v>41</v>
      </c>
      <c r="E150">
        <v>160</v>
      </c>
      <c r="F150">
        <v>3</v>
      </c>
      <c r="G150">
        <f t="shared" si="6"/>
        <v>480</v>
      </c>
    </row>
    <row r="151" spans="1:7">
      <c r="A151" s="1">
        <v>45534</v>
      </c>
      <c r="B151" t="s">
        <v>54</v>
      </c>
      <c r="C151" t="s">
        <v>40</v>
      </c>
      <c r="D151" t="s">
        <v>41</v>
      </c>
      <c r="E151">
        <v>160</v>
      </c>
      <c r="F151">
        <v>0</v>
      </c>
      <c r="G151">
        <f t="shared" si="6"/>
        <v>0</v>
      </c>
    </row>
    <row r="152" spans="1:7">
      <c r="A152" s="1">
        <v>45535</v>
      </c>
      <c r="B152" t="s">
        <v>54</v>
      </c>
      <c r="C152" t="s">
        <v>40</v>
      </c>
      <c r="D152" t="s">
        <v>41</v>
      </c>
      <c r="E152">
        <v>160</v>
      </c>
      <c r="F152">
        <v>0</v>
      </c>
      <c r="G152">
        <f t="shared" si="6"/>
        <v>0</v>
      </c>
    </row>
    <row r="153" spans="1:7">
      <c r="A153" s="1">
        <v>45505</v>
      </c>
      <c r="B153" t="s">
        <v>54</v>
      </c>
      <c r="C153" t="s">
        <v>40</v>
      </c>
      <c r="D153" t="s">
        <v>42</v>
      </c>
      <c r="E153">
        <v>160</v>
      </c>
      <c r="F153">
        <v>2</v>
      </c>
      <c r="G153">
        <f t="shared" si="6"/>
        <v>320</v>
      </c>
    </row>
    <row r="154" spans="1:7">
      <c r="A154" s="1">
        <v>45506</v>
      </c>
      <c r="B154" t="s">
        <v>54</v>
      </c>
      <c r="C154" t="s">
        <v>40</v>
      </c>
      <c r="D154" t="s">
        <v>42</v>
      </c>
      <c r="E154">
        <v>160</v>
      </c>
      <c r="F154">
        <v>1</v>
      </c>
      <c r="G154">
        <f t="shared" si="6"/>
        <v>160</v>
      </c>
    </row>
    <row r="155" spans="1:7">
      <c r="A155" s="1">
        <v>45507</v>
      </c>
      <c r="B155" t="s">
        <v>54</v>
      </c>
      <c r="C155" t="s">
        <v>40</v>
      </c>
      <c r="D155" t="s">
        <v>42</v>
      </c>
      <c r="E155">
        <v>160</v>
      </c>
      <c r="F155">
        <v>0</v>
      </c>
      <c r="G155">
        <f t="shared" si="6"/>
        <v>0</v>
      </c>
    </row>
    <row r="156" spans="1:7">
      <c r="A156" s="1">
        <v>45508</v>
      </c>
      <c r="B156" t="s">
        <v>54</v>
      </c>
      <c r="C156" t="s">
        <v>40</v>
      </c>
      <c r="D156" t="s">
        <v>42</v>
      </c>
      <c r="E156">
        <v>160</v>
      </c>
      <c r="F156">
        <v>0</v>
      </c>
      <c r="G156">
        <f t="shared" si="6"/>
        <v>0</v>
      </c>
    </row>
    <row r="157" spans="1:7">
      <c r="A157" s="1">
        <v>45509</v>
      </c>
      <c r="B157" t="s">
        <v>54</v>
      </c>
      <c r="C157" t="s">
        <v>40</v>
      </c>
      <c r="D157" t="s">
        <v>42</v>
      </c>
      <c r="E157">
        <v>160</v>
      </c>
      <c r="F157">
        <v>2</v>
      </c>
      <c r="G157">
        <f t="shared" si="6"/>
        <v>320</v>
      </c>
    </row>
    <row r="158" spans="1:7">
      <c r="A158" s="1">
        <v>45510</v>
      </c>
      <c r="B158" t="s">
        <v>54</v>
      </c>
      <c r="C158" t="s">
        <v>40</v>
      </c>
      <c r="D158" t="s">
        <v>42</v>
      </c>
      <c r="E158">
        <v>160</v>
      </c>
      <c r="F158">
        <v>4</v>
      </c>
      <c r="G158">
        <f t="shared" si="6"/>
        <v>640</v>
      </c>
    </row>
    <row r="159" spans="1:7">
      <c r="A159" s="1">
        <v>45511</v>
      </c>
      <c r="B159" t="s">
        <v>54</v>
      </c>
      <c r="C159" t="s">
        <v>40</v>
      </c>
      <c r="D159" t="s">
        <v>42</v>
      </c>
      <c r="E159">
        <v>160</v>
      </c>
      <c r="F159">
        <v>4</v>
      </c>
      <c r="G159">
        <f t="shared" si="6"/>
        <v>640</v>
      </c>
    </row>
    <row r="160" spans="1:7">
      <c r="A160" s="1">
        <v>45512</v>
      </c>
      <c r="B160" t="s">
        <v>54</v>
      </c>
      <c r="C160" t="s">
        <v>40</v>
      </c>
      <c r="D160" t="s">
        <v>42</v>
      </c>
      <c r="E160">
        <v>160</v>
      </c>
      <c r="F160">
        <v>2</v>
      </c>
      <c r="G160">
        <f t="shared" si="6"/>
        <v>320</v>
      </c>
    </row>
    <row r="161" spans="1:7">
      <c r="A161" s="1">
        <v>45513</v>
      </c>
      <c r="B161" t="s">
        <v>54</v>
      </c>
      <c r="C161" t="s">
        <v>40</v>
      </c>
      <c r="D161" t="s">
        <v>42</v>
      </c>
      <c r="E161">
        <v>160</v>
      </c>
      <c r="F161">
        <v>2</v>
      </c>
      <c r="G161">
        <f t="shared" si="6"/>
        <v>320</v>
      </c>
    </row>
    <row r="162" spans="1:7">
      <c r="A162" s="1">
        <v>45514</v>
      </c>
      <c r="B162" t="s">
        <v>54</v>
      </c>
      <c r="C162" t="s">
        <v>40</v>
      </c>
      <c r="D162" t="s">
        <v>42</v>
      </c>
      <c r="E162">
        <v>160</v>
      </c>
      <c r="F162">
        <v>0</v>
      </c>
      <c r="G162">
        <f t="shared" si="6"/>
        <v>0</v>
      </c>
    </row>
    <row r="163" spans="1:7">
      <c r="A163" s="1">
        <v>45515</v>
      </c>
      <c r="B163" t="s">
        <v>54</v>
      </c>
      <c r="C163" t="s">
        <v>40</v>
      </c>
      <c r="D163" t="s">
        <v>42</v>
      </c>
      <c r="E163">
        <v>160</v>
      </c>
      <c r="F163">
        <v>0</v>
      </c>
      <c r="G163">
        <f t="shared" si="6"/>
        <v>0</v>
      </c>
    </row>
    <row r="164" spans="1:7">
      <c r="A164" s="1">
        <v>45516</v>
      </c>
      <c r="B164" t="s">
        <v>54</v>
      </c>
      <c r="C164" t="s">
        <v>40</v>
      </c>
      <c r="D164" t="s">
        <v>42</v>
      </c>
      <c r="E164">
        <v>160</v>
      </c>
      <c r="F164">
        <v>2</v>
      </c>
      <c r="G164">
        <f t="shared" si="6"/>
        <v>320</v>
      </c>
    </row>
    <row r="165" spans="1:7">
      <c r="A165" s="1">
        <v>45517</v>
      </c>
      <c r="B165" t="s">
        <v>54</v>
      </c>
      <c r="C165" t="s">
        <v>40</v>
      </c>
      <c r="D165" t="s">
        <v>42</v>
      </c>
      <c r="E165">
        <v>160</v>
      </c>
      <c r="F165">
        <v>4</v>
      </c>
      <c r="G165">
        <f t="shared" si="6"/>
        <v>640</v>
      </c>
    </row>
    <row r="166" spans="1:7">
      <c r="A166" s="1">
        <v>45518</v>
      </c>
      <c r="B166" t="s">
        <v>54</v>
      </c>
      <c r="C166" t="s">
        <v>40</v>
      </c>
      <c r="D166" t="s">
        <v>42</v>
      </c>
      <c r="E166">
        <v>160</v>
      </c>
      <c r="F166">
        <v>2</v>
      </c>
      <c r="G166">
        <f t="shared" si="6"/>
        <v>320</v>
      </c>
    </row>
    <row r="167" spans="1:7">
      <c r="A167" s="1">
        <v>45519</v>
      </c>
      <c r="B167" t="s">
        <v>54</v>
      </c>
      <c r="C167" t="s">
        <v>40</v>
      </c>
      <c r="D167" t="s">
        <v>42</v>
      </c>
      <c r="E167">
        <v>160</v>
      </c>
      <c r="F167">
        <v>4</v>
      </c>
      <c r="G167">
        <f t="shared" si="6"/>
        <v>640</v>
      </c>
    </row>
    <row r="168" spans="1:7">
      <c r="A168" s="1">
        <v>45520</v>
      </c>
      <c r="B168" t="s">
        <v>54</v>
      </c>
      <c r="C168" t="s">
        <v>40</v>
      </c>
      <c r="D168" t="s">
        <v>42</v>
      </c>
      <c r="E168">
        <v>160</v>
      </c>
      <c r="F168">
        <v>3</v>
      </c>
      <c r="G168">
        <f t="shared" si="6"/>
        <v>480</v>
      </c>
    </row>
    <row r="169" spans="1:7">
      <c r="A169" s="1">
        <v>45521</v>
      </c>
      <c r="B169" t="s">
        <v>54</v>
      </c>
      <c r="C169" t="s">
        <v>40</v>
      </c>
      <c r="D169" t="s">
        <v>42</v>
      </c>
      <c r="E169">
        <v>160</v>
      </c>
      <c r="F169">
        <v>0</v>
      </c>
      <c r="G169">
        <f t="shared" si="6"/>
        <v>0</v>
      </c>
    </row>
    <row r="170" spans="1:7">
      <c r="A170" s="1">
        <v>45522</v>
      </c>
      <c r="B170" t="s">
        <v>54</v>
      </c>
      <c r="C170" t="s">
        <v>40</v>
      </c>
      <c r="D170" t="s">
        <v>42</v>
      </c>
      <c r="E170">
        <v>160</v>
      </c>
      <c r="F170">
        <v>0</v>
      </c>
      <c r="G170">
        <f t="shared" si="6"/>
        <v>0</v>
      </c>
    </row>
    <row r="171" spans="1:7">
      <c r="A171" s="1">
        <v>45523</v>
      </c>
      <c r="B171" t="s">
        <v>54</v>
      </c>
      <c r="C171" t="s">
        <v>40</v>
      </c>
      <c r="D171" t="s">
        <v>42</v>
      </c>
      <c r="E171">
        <v>160</v>
      </c>
      <c r="F171">
        <v>4</v>
      </c>
      <c r="G171">
        <f t="shared" si="6"/>
        <v>640</v>
      </c>
    </row>
    <row r="172" spans="1:7">
      <c r="A172" s="1">
        <v>45524</v>
      </c>
      <c r="B172" t="s">
        <v>54</v>
      </c>
      <c r="C172" t="s">
        <v>40</v>
      </c>
      <c r="D172" t="s">
        <v>42</v>
      </c>
      <c r="E172">
        <v>160</v>
      </c>
      <c r="F172">
        <v>3</v>
      </c>
      <c r="G172">
        <f t="shared" si="6"/>
        <v>480</v>
      </c>
    </row>
    <row r="173" spans="1:7">
      <c r="A173" s="1">
        <v>45525</v>
      </c>
      <c r="B173" t="s">
        <v>54</v>
      </c>
      <c r="C173" t="s">
        <v>40</v>
      </c>
      <c r="D173" t="s">
        <v>42</v>
      </c>
      <c r="E173">
        <v>160</v>
      </c>
      <c r="F173">
        <v>2</v>
      </c>
      <c r="G173">
        <f t="shared" si="6"/>
        <v>320</v>
      </c>
    </row>
    <row r="174" spans="1:7">
      <c r="A174" s="1">
        <v>45526</v>
      </c>
      <c r="B174" t="s">
        <v>54</v>
      </c>
      <c r="C174" t="s">
        <v>40</v>
      </c>
      <c r="D174" t="s">
        <v>42</v>
      </c>
      <c r="E174">
        <v>160</v>
      </c>
      <c r="F174">
        <v>4</v>
      </c>
      <c r="G174">
        <f t="shared" si="6"/>
        <v>640</v>
      </c>
    </row>
    <row r="175" spans="1:7">
      <c r="A175" s="1">
        <v>45527</v>
      </c>
      <c r="B175" t="s">
        <v>54</v>
      </c>
      <c r="C175" t="s">
        <v>40</v>
      </c>
      <c r="D175" t="s">
        <v>42</v>
      </c>
      <c r="E175">
        <v>160</v>
      </c>
      <c r="F175">
        <v>3</v>
      </c>
      <c r="G175">
        <f t="shared" si="6"/>
        <v>480</v>
      </c>
    </row>
    <row r="176" spans="1:7">
      <c r="A176" s="1">
        <v>45528</v>
      </c>
      <c r="B176" t="s">
        <v>54</v>
      </c>
      <c r="C176" t="s">
        <v>40</v>
      </c>
      <c r="D176" t="s">
        <v>42</v>
      </c>
      <c r="E176">
        <v>160</v>
      </c>
      <c r="F176">
        <v>2</v>
      </c>
      <c r="G176">
        <f t="shared" si="6"/>
        <v>320</v>
      </c>
    </row>
    <row r="177" spans="1:7">
      <c r="A177" s="1">
        <v>45529</v>
      </c>
      <c r="B177" t="s">
        <v>54</v>
      </c>
      <c r="C177" t="s">
        <v>40</v>
      </c>
      <c r="D177" t="s">
        <v>42</v>
      </c>
      <c r="E177">
        <v>160</v>
      </c>
      <c r="F177">
        <v>0</v>
      </c>
      <c r="G177">
        <f t="shared" si="6"/>
        <v>0</v>
      </c>
    </row>
    <row r="178" spans="1:7">
      <c r="A178" s="1">
        <v>45530</v>
      </c>
      <c r="B178" t="s">
        <v>54</v>
      </c>
      <c r="C178" t="s">
        <v>40</v>
      </c>
      <c r="D178" t="s">
        <v>42</v>
      </c>
      <c r="E178">
        <v>160</v>
      </c>
      <c r="F178">
        <v>3</v>
      </c>
      <c r="G178">
        <f t="shared" si="6"/>
        <v>480</v>
      </c>
    </row>
    <row r="179" spans="1:7">
      <c r="A179" s="1">
        <v>45531</v>
      </c>
      <c r="B179" t="s">
        <v>54</v>
      </c>
      <c r="C179" t="s">
        <v>40</v>
      </c>
      <c r="D179" t="s">
        <v>42</v>
      </c>
      <c r="E179">
        <v>160</v>
      </c>
      <c r="F179">
        <v>3</v>
      </c>
      <c r="G179">
        <f t="shared" si="6"/>
        <v>480</v>
      </c>
    </row>
    <row r="180" spans="1:7">
      <c r="A180" s="1">
        <v>45532</v>
      </c>
      <c r="B180" t="s">
        <v>54</v>
      </c>
      <c r="C180" t="s">
        <v>40</v>
      </c>
      <c r="D180" t="s">
        <v>42</v>
      </c>
      <c r="E180">
        <v>160</v>
      </c>
      <c r="F180">
        <v>3</v>
      </c>
      <c r="G180">
        <f t="shared" si="6"/>
        <v>480</v>
      </c>
    </row>
    <row r="181" spans="1:7">
      <c r="A181" s="1">
        <v>45533</v>
      </c>
      <c r="B181" t="s">
        <v>54</v>
      </c>
      <c r="C181" t="s">
        <v>40</v>
      </c>
      <c r="D181" t="s">
        <v>42</v>
      </c>
      <c r="E181">
        <v>160</v>
      </c>
      <c r="F181">
        <v>4</v>
      </c>
      <c r="G181">
        <f t="shared" si="6"/>
        <v>640</v>
      </c>
    </row>
    <row r="182" spans="1:7">
      <c r="A182" s="1">
        <v>45534</v>
      </c>
      <c r="B182" t="s">
        <v>54</v>
      </c>
      <c r="C182" t="s">
        <v>40</v>
      </c>
      <c r="D182" t="s">
        <v>42</v>
      </c>
      <c r="E182">
        <v>160</v>
      </c>
      <c r="F182">
        <v>0</v>
      </c>
      <c r="G182">
        <f t="shared" si="6"/>
        <v>0</v>
      </c>
    </row>
    <row r="183" spans="1:7">
      <c r="A183" s="1">
        <v>45535</v>
      </c>
      <c r="B183" t="s">
        <v>54</v>
      </c>
      <c r="C183" t="s">
        <v>40</v>
      </c>
      <c r="D183" t="s">
        <v>42</v>
      </c>
      <c r="E183">
        <v>160</v>
      </c>
      <c r="F183">
        <v>0</v>
      </c>
      <c r="G183">
        <f t="shared" si="6"/>
        <v>0</v>
      </c>
    </row>
    <row r="184" spans="1:7">
      <c r="A184" s="1">
        <v>45505</v>
      </c>
      <c r="B184" t="s">
        <v>54</v>
      </c>
      <c r="C184" t="s">
        <v>15</v>
      </c>
      <c r="D184" t="s">
        <v>6</v>
      </c>
      <c r="E184">
        <v>700</v>
      </c>
      <c r="F184" s="7">
        <v>0</v>
      </c>
      <c r="G184">
        <f t="shared" si="6"/>
        <v>0</v>
      </c>
    </row>
    <row r="185" spans="1:7">
      <c r="A185" s="1">
        <f>A184+1</f>
        <v>45506</v>
      </c>
      <c r="B185" t="s">
        <v>54</v>
      </c>
      <c r="C185" t="s">
        <v>15</v>
      </c>
      <c r="D185" t="s">
        <v>6</v>
      </c>
      <c r="E185">
        <v>700</v>
      </c>
      <c r="F185" s="7">
        <v>1</v>
      </c>
      <c r="G185">
        <f t="shared" si="6"/>
        <v>700</v>
      </c>
    </row>
    <row r="186" spans="1:7">
      <c r="A186" s="1">
        <f t="shared" ref="A186:A214" si="7">A185+1</f>
        <v>45507</v>
      </c>
      <c r="B186" t="s">
        <v>54</v>
      </c>
      <c r="C186" t="s">
        <v>15</v>
      </c>
      <c r="D186" t="s">
        <v>6</v>
      </c>
      <c r="E186">
        <v>700</v>
      </c>
      <c r="F186" s="7">
        <v>0</v>
      </c>
      <c r="G186">
        <f t="shared" si="6"/>
        <v>0</v>
      </c>
    </row>
    <row r="187" spans="1:7">
      <c r="A187" s="1">
        <f t="shared" si="7"/>
        <v>45508</v>
      </c>
      <c r="B187" t="s">
        <v>54</v>
      </c>
      <c r="C187" t="s">
        <v>15</v>
      </c>
      <c r="D187" t="s">
        <v>6</v>
      </c>
      <c r="E187">
        <v>700</v>
      </c>
      <c r="F187" s="7">
        <v>1</v>
      </c>
      <c r="G187">
        <f t="shared" si="6"/>
        <v>700</v>
      </c>
    </row>
    <row r="188" spans="1:7">
      <c r="A188" s="1">
        <f t="shared" si="7"/>
        <v>45509</v>
      </c>
      <c r="B188" t="s">
        <v>54</v>
      </c>
      <c r="C188" t="s">
        <v>15</v>
      </c>
      <c r="D188" t="s">
        <v>6</v>
      </c>
      <c r="E188">
        <v>700</v>
      </c>
      <c r="F188" s="7">
        <v>1</v>
      </c>
      <c r="G188">
        <f t="shared" si="6"/>
        <v>700</v>
      </c>
    </row>
    <row r="189" spans="1:7">
      <c r="A189" s="1">
        <f t="shared" si="7"/>
        <v>45510</v>
      </c>
      <c r="B189" t="s">
        <v>54</v>
      </c>
      <c r="C189" t="s">
        <v>15</v>
      </c>
      <c r="D189" t="s">
        <v>6</v>
      </c>
      <c r="E189">
        <v>700</v>
      </c>
      <c r="F189" s="7">
        <v>0</v>
      </c>
      <c r="G189">
        <f t="shared" si="6"/>
        <v>0</v>
      </c>
    </row>
    <row r="190" spans="1:7">
      <c r="A190" s="1">
        <f t="shared" si="7"/>
        <v>45511</v>
      </c>
      <c r="B190" t="s">
        <v>54</v>
      </c>
      <c r="C190" t="s">
        <v>15</v>
      </c>
      <c r="D190" t="s">
        <v>6</v>
      </c>
      <c r="E190">
        <v>700</v>
      </c>
      <c r="F190" s="7">
        <v>0</v>
      </c>
      <c r="G190">
        <f t="shared" si="6"/>
        <v>0</v>
      </c>
    </row>
    <row r="191" spans="1:7">
      <c r="A191" s="1">
        <f t="shared" si="7"/>
        <v>45512</v>
      </c>
      <c r="B191" t="s">
        <v>54</v>
      </c>
      <c r="C191" t="s">
        <v>15</v>
      </c>
      <c r="D191" t="s">
        <v>6</v>
      </c>
      <c r="E191">
        <v>700</v>
      </c>
      <c r="F191" s="7">
        <v>1</v>
      </c>
      <c r="G191">
        <f t="shared" si="6"/>
        <v>700</v>
      </c>
    </row>
    <row r="192" spans="1:7">
      <c r="A192" s="1">
        <f t="shared" si="7"/>
        <v>45513</v>
      </c>
      <c r="B192" t="s">
        <v>54</v>
      </c>
      <c r="C192" t="s">
        <v>15</v>
      </c>
      <c r="D192" t="s">
        <v>6</v>
      </c>
      <c r="E192">
        <v>700</v>
      </c>
      <c r="F192" s="7">
        <v>0</v>
      </c>
      <c r="G192">
        <f t="shared" si="6"/>
        <v>0</v>
      </c>
    </row>
    <row r="193" spans="1:7">
      <c r="A193" s="1">
        <f t="shared" si="7"/>
        <v>45514</v>
      </c>
      <c r="B193" t="s">
        <v>54</v>
      </c>
      <c r="C193" t="s">
        <v>15</v>
      </c>
      <c r="D193" t="s">
        <v>6</v>
      </c>
      <c r="E193">
        <v>700</v>
      </c>
      <c r="F193" s="7">
        <v>0</v>
      </c>
      <c r="G193">
        <f t="shared" si="6"/>
        <v>0</v>
      </c>
    </row>
    <row r="194" spans="1:7">
      <c r="A194" s="1">
        <f t="shared" si="7"/>
        <v>45515</v>
      </c>
      <c r="B194" t="s">
        <v>54</v>
      </c>
      <c r="C194" t="s">
        <v>15</v>
      </c>
      <c r="D194" t="s">
        <v>6</v>
      </c>
      <c r="E194">
        <v>700</v>
      </c>
      <c r="F194" s="7">
        <v>0</v>
      </c>
      <c r="G194">
        <f t="shared" si="6"/>
        <v>0</v>
      </c>
    </row>
    <row r="195" spans="1:7">
      <c r="A195" s="1">
        <f t="shared" si="7"/>
        <v>45516</v>
      </c>
      <c r="B195" t="s">
        <v>54</v>
      </c>
      <c r="C195" t="s">
        <v>15</v>
      </c>
      <c r="D195" t="s">
        <v>6</v>
      </c>
      <c r="E195">
        <v>700</v>
      </c>
      <c r="F195" s="7">
        <v>1</v>
      </c>
      <c r="G195">
        <f t="shared" ref="G195:G258" si="8">F195*E195</f>
        <v>700</v>
      </c>
    </row>
    <row r="196" spans="1:7">
      <c r="A196" s="1">
        <f t="shared" si="7"/>
        <v>45517</v>
      </c>
      <c r="B196" t="s">
        <v>54</v>
      </c>
      <c r="C196" t="s">
        <v>15</v>
      </c>
      <c r="D196" t="s">
        <v>6</v>
      </c>
      <c r="E196">
        <v>700</v>
      </c>
      <c r="F196" s="7">
        <v>1</v>
      </c>
      <c r="G196">
        <f t="shared" si="8"/>
        <v>700</v>
      </c>
    </row>
    <row r="197" spans="1:7">
      <c r="A197" s="1">
        <f t="shared" si="7"/>
        <v>45518</v>
      </c>
      <c r="B197" t="s">
        <v>54</v>
      </c>
      <c r="C197" t="s">
        <v>15</v>
      </c>
      <c r="D197" t="s">
        <v>6</v>
      </c>
      <c r="E197">
        <v>700</v>
      </c>
      <c r="F197" s="7">
        <v>1</v>
      </c>
      <c r="G197">
        <f t="shared" si="8"/>
        <v>700</v>
      </c>
    </row>
    <row r="198" spans="1:7">
      <c r="A198" s="1">
        <f t="shared" si="7"/>
        <v>45519</v>
      </c>
      <c r="B198" t="s">
        <v>54</v>
      </c>
      <c r="C198" t="s">
        <v>15</v>
      </c>
      <c r="D198" t="s">
        <v>6</v>
      </c>
      <c r="E198">
        <v>700</v>
      </c>
      <c r="F198" s="7">
        <v>7</v>
      </c>
      <c r="G198">
        <f t="shared" si="8"/>
        <v>4900</v>
      </c>
    </row>
    <row r="199" spans="1:7">
      <c r="A199" s="1">
        <f t="shared" si="7"/>
        <v>45520</v>
      </c>
      <c r="B199" t="s">
        <v>54</v>
      </c>
      <c r="C199" t="s">
        <v>15</v>
      </c>
      <c r="D199" t="s">
        <v>6</v>
      </c>
      <c r="E199">
        <v>700</v>
      </c>
      <c r="F199" s="7">
        <v>0</v>
      </c>
      <c r="G199">
        <f t="shared" si="8"/>
        <v>0</v>
      </c>
    </row>
    <row r="200" spans="1:7">
      <c r="A200" s="1">
        <f t="shared" si="7"/>
        <v>45521</v>
      </c>
      <c r="B200" t="s">
        <v>54</v>
      </c>
      <c r="C200" t="s">
        <v>15</v>
      </c>
      <c r="D200" t="s">
        <v>6</v>
      </c>
      <c r="E200">
        <v>700</v>
      </c>
      <c r="F200" s="7">
        <v>0</v>
      </c>
      <c r="G200">
        <f t="shared" si="8"/>
        <v>0</v>
      </c>
    </row>
    <row r="201" spans="1:7">
      <c r="A201" s="1">
        <f t="shared" si="7"/>
        <v>45522</v>
      </c>
      <c r="B201" t="s">
        <v>54</v>
      </c>
      <c r="C201" t="s">
        <v>15</v>
      </c>
      <c r="D201" t="s">
        <v>6</v>
      </c>
      <c r="E201">
        <v>700</v>
      </c>
      <c r="F201" s="7">
        <v>0</v>
      </c>
      <c r="G201">
        <f t="shared" si="8"/>
        <v>0</v>
      </c>
    </row>
    <row r="202" spans="1:7">
      <c r="A202" s="1">
        <f t="shared" si="7"/>
        <v>45523</v>
      </c>
      <c r="B202" t="s">
        <v>54</v>
      </c>
      <c r="C202" t="s">
        <v>15</v>
      </c>
      <c r="D202" t="s">
        <v>6</v>
      </c>
      <c r="E202">
        <v>700</v>
      </c>
      <c r="F202" s="7">
        <v>1</v>
      </c>
      <c r="G202">
        <f t="shared" si="8"/>
        <v>700</v>
      </c>
    </row>
    <row r="203" spans="1:7">
      <c r="A203" s="1">
        <f t="shared" si="7"/>
        <v>45524</v>
      </c>
      <c r="B203" t="s">
        <v>54</v>
      </c>
      <c r="C203" t="s">
        <v>15</v>
      </c>
      <c r="D203" t="s">
        <v>6</v>
      </c>
      <c r="E203">
        <v>700</v>
      </c>
      <c r="F203" s="7">
        <v>0</v>
      </c>
      <c r="G203">
        <f t="shared" si="8"/>
        <v>0</v>
      </c>
    </row>
    <row r="204" spans="1:7">
      <c r="A204" s="1">
        <f t="shared" si="7"/>
        <v>45525</v>
      </c>
      <c r="B204" t="s">
        <v>54</v>
      </c>
      <c r="C204" t="s">
        <v>15</v>
      </c>
      <c r="D204" t="s">
        <v>6</v>
      </c>
      <c r="E204">
        <v>700</v>
      </c>
      <c r="F204" s="7">
        <v>0</v>
      </c>
      <c r="G204">
        <f t="shared" si="8"/>
        <v>0</v>
      </c>
    </row>
    <row r="205" spans="1:7">
      <c r="A205" s="1">
        <f t="shared" si="7"/>
        <v>45526</v>
      </c>
      <c r="B205" t="s">
        <v>54</v>
      </c>
      <c r="C205" t="s">
        <v>15</v>
      </c>
      <c r="D205" t="s">
        <v>6</v>
      </c>
      <c r="E205">
        <v>700</v>
      </c>
      <c r="F205" s="7">
        <v>1</v>
      </c>
      <c r="G205">
        <f t="shared" si="8"/>
        <v>700</v>
      </c>
    </row>
    <row r="206" spans="1:7">
      <c r="A206" s="1">
        <f t="shared" si="7"/>
        <v>45527</v>
      </c>
      <c r="B206" t="s">
        <v>54</v>
      </c>
      <c r="C206" t="s">
        <v>15</v>
      </c>
      <c r="D206" t="s">
        <v>6</v>
      </c>
      <c r="E206">
        <v>700</v>
      </c>
      <c r="F206" s="7">
        <v>0</v>
      </c>
      <c r="G206">
        <f t="shared" si="8"/>
        <v>0</v>
      </c>
    </row>
    <row r="207" spans="1:7">
      <c r="A207" s="1">
        <f t="shared" si="7"/>
        <v>45528</v>
      </c>
      <c r="B207" t="s">
        <v>54</v>
      </c>
      <c r="C207" t="s">
        <v>15</v>
      </c>
      <c r="D207" t="s">
        <v>6</v>
      </c>
      <c r="E207">
        <v>700</v>
      </c>
      <c r="F207" s="7">
        <v>0</v>
      </c>
      <c r="G207">
        <f t="shared" si="8"/>
        <v>0</v>
      </c>
    </row>
    <row r="208" spans="1:7">
      <c r="A208" s="1">
        <f t="shared" si="7"/>
        <v>45529</v>
      </c>
      <c r="B208" t="s">
        <v>54</v>
      </c>
      <c r="C208" t="s">
        <v>15</v>
      </c>
      <c r="D208" t="s">
        <v>6</v>
      </c>
      <c r="E208">
        <v>700</v>
      </c>
      <c r="F208" s="7">
        <v>0</v>
      </c>
      <c r="G208">
        <f t="shared" si="8"/>
        <v>0</v>
      </c>
    </row>
    <row r="209" spans="1:7">
      <c r="A209" s="1">
        <f t="shared" si="7"/>
        <v>45530</v>
      </c>
      <c r="B209" t="s">
        <v>54</v>
      </c>
      <c r="C209" t="s">
        <v>15</v>
      </c>
      <c r="D209" t="s">
        <v>6</v>
      </c>
      <c r="E209">
        <v>700</v>
      </c>
      <c r="F209" s="7">
        <v>1</v>
      </c>
      <c r="G209">
        <f t="shared" si="8"/>
        <v>700</v>
      </c>
    </row>
    <row r="210" spans="1:7">
      <c r="A210" s="1">
        <f t="shared" si="7"/>
        <v>45531</v>
      </c>
      <c r="B210" t="s">
        <v>54</v>
      </c>
      <c r="C210" t="s">
        <v>15</v>
      </c>
      <c r="D210" t="s">
        <v>6</v>
      </c>
      <c r="E210">
        <v>700</v>
      </c>
      <c r="F210" s="7">
        <v>0</v>
      </c>
      <c r="G210">
        <f t="shared" si="8"/>
        <v>0</v>
      </c>
    </row>
    <row r="211" spans="1:7">
      <c r="A211" s="1">
        <f t="shared" si="7"/>
        <v>45532</v>
      </c>
      <c r="B211" t="s">
        <v>54</v>
      </c>
      <c r="C211" t="s">
        <v>15</v>
      </c>
      <c r="D211" t="s">
        <v>6</v>
      </c>
      <c r="E211">
        <v>700</v>
      </c>
      <c r="F211" s="7">
        <v>0</v>
      </c>
      <c r="G211">
        <f t="shared" si="8"/>
        <v>0</v>
      </c>
    </row>
    <row r="212" spans="1:7">
      <c r="A212" s="1">
        <f t="shared" si="7"/>
        <v>45533</v>
      </c>
      <c r="B212" t="s">
        <v>54</v>
      </c>
      <c r="C212" t="s">
        <v>15</v>
      </c>
      <c r="D212" t="s">
        <v>6</v>
      </c>
      <c r="E212">
        <v>700</v>
      </c>
      <c r="F212" s="7">
        <v>1</v>
      </c>
      <c r="G212">
        <f t="shared" si="8"/>
        <v>700</v>
      </c>
    </row>
    <row r="213" spans="1:7">
      <c r="A213" s="1">
        <f t="shared" si="7"/>
        <v>45534</v>
      </c>
      <c r="B213" t="s">
        <v>54</v>
      </c>
      <c r="C213" t="s">
        <v>15</v>
      </c>
      <c r="D213" t="s">
        <v>6</v>
      </c>
      <c r="E213">
        <v>700</v>
      </c>
      <c r="F213" s="7"/>
      <c r="G213">
        <f t="shared" si="8"/>
        <v>0</v>
      </c>
    </row>
    <row r="214" spans="1:7">
      <c r="A214" s="1">
        <f t="shared" si="7"/>
        <v>45535</v>
      </c>
      <c r="B214" t="s">
        <v>54</v>
      </c>
      <c r="C214" t="s">
        <v>15</v>
      </c>
      <c r="D214" t="s">
        <v>6</v>
      </c>
      <c r="E214">
        <v>700</v>
      </c>
      <c r="F214" s="7">
        <v>0</v>
      </c>
      <c r="G214">
        <f t="shared" si="8"/>
        <v>0</v>
      </c>
    </row>
    <row r="215" spans="1:7">
      <c r="A215" s="1">
        <v>45505</v>
      </c>
      <c r="B215" t="s">
        <v>54</v>
      </c>
      <c r="C215" t="s">
        <v>15</v>
      </c>
      <c r="D215" t="s">
        <v>9</v>
      </c>
      <c r="E215">
        <v>69.52</v>
      </c>
      <c r="F215" s="7">
        <v>2</v>
      </c>
      <c r="G215">
        <f t="shared" si="8"/>
        <v>139.04</v>
      </c>
    </row>
    <row r="216" spans="1:7">
      <c r="A216" s="1">
        <f>A215+1</f>
        <v>45506</v>
      </c>
      <c r="B216" t="s">
        <v>54</v>
      </c>
      <c r="C216" t="s">
        <v>15</v>
      </c>
      <c r="D216" t="s">
        <v>9</v>
      </c>
      <c r="E216">
        <v>69.52</v>
      </c>
      <c r="F216" s="7">
        <v>2</v>
      </c>
      <c r="G216">
        <f t="shared" si="8"/>
        <v>139.04</v>
      </c>
    </row>
    <row r="217" spans="1:7">
      <c r="A217" s="1">
        <f t="shared" ref="A217:A245" si="9">A216+1</f>
        <v>45507</v>
      </c>
      <c r="B217" t="s">
        <v>54</v>
      </c>
      <c r="C217" t="s">
        <v>15</v>
      </c>
      <c r="D217" t="s">
        <v>9</v>
      </c>
      <c r="E217">
        <v>69.52</v>
      </c>
      <c r="F217" s="7">
        <v>0</v>
      </c>
      <c r="G217">
        <f t="shared" si="8"/>
        <v>0</v>
      </c>
    </row>
    <row r="218" spans="1:7">
      <c r="A218" s="1">
        <f t="shared" si="9"/>
        <v>45508</v>
      </c>
      <c r="B218" t="s">
        <v>54</v>
      </c>
      <c r="C218" t="s">
        <v>15</v>
      </c>
      <c r="D218" t="s">
        <v>9</v>
      </c>
      <c r="E218">
        <v>69.52</v>
      </c>
      <c r="F218" s="7">
        <v>2</v>
      </c>
      <c r="G218">
        <f t="shared" si="8"/>
        <v>139.04</v>
      </c>
    </row>
    <row r="219" spans="1:7">
      <c r="A219" s="1">
        <f t="shared" si="9"/>
        <v>45509</v>
      </c>
      <c r="B219" t="s">
        <v>54</v>
      </c>
      <c r="C219" t="s">
        <v>15</v>
      </c>
      <c r="D219" t="s">
        <v>9</v>
      </c>
      <c r="E219">
        <v>69.52</v>
      </c>
      <c r="F219" s="7">
        <v>2</v>
      </c>
      <c r="G219">
        <f t="shared" si="8"/>
        <v>139.04</v>
      </c>
    </row>
    <row r="220" spans="1:7">
      <c r="A220" s="1">
        <f t="shared" si="9"/>
        <v>45510</v>
      </c>
      <c r="B220" t="s">
        <v>54</v>
      </c>
      <c r="C220" t="s">
        <v>15</v>
      </c>
      <c r="D220" t="s">
        <v>9</v>
      </c>
      <c r="E220">
        <v>69.52</v>
      </c>
      <c r="F220" s="7">
        <v>2</v>
      </c>
      <c r="G220">
        <f t="shared" si="8"/>
        <v>139.04</v>
      </c>
    </row>
    <row r="221" spans="1:7">
      <c r="A221" s="1">
        <f t="shared" si="9"/>
        <v>45511</v>
      </c>
      <c r="B221" t="s">
        <v>54</v>
      </c>
      <c r="C221" t="s">
        <v>15</v>
      </c>
      <c r="D221" t="s">
        <v>9</v>
      </c>
      <c r="E221">
        <v>69.52</v>
      </c>
      <c r="F221" s="7">
        <v>1</v>
      </c>
      <c r="G221">
        <f t="shared" si="8"/>
        <v>69.52</v>
      </c>
    </row>
    <row r="222" spans="1:7">
      <c r="A222" s="1">
        <f t="shared" si="9"/>
        <v>45512</v>
      </c>
      <c r="B222" t="s">
        <v>54</v>
      </c>
      <c r="C222" t="s">
        <v>15</v>
      </c>
      <c r="D222" t="s">
        <v>9</v>
      </c>
      <c r="E222">
        <v>69.52</v>
      </c>
      <c r="F222" s="7">
        <v>2</v>
      </c>
      <c r="G222">
        <f t="shared" si="8"/>
        <v>139.04</v>
      </c>
    </row>
    <row r="223" spans="1:7">
      <c r="A223" s="1">
        <f t="shared" si="9"/>
        <v>45513</v>
      </c>
      <c r="B223" t="s">
        <v>54</v>
      </c>
      <c r="C223" t="s">
        <v>15</v>
      </c>
      <c r="D223" t="s">
        <v>9</v>
      </c>
      <c r="E223">
        <v>69.52</v>
      </c>
      <c r="F223" s="7">
        <v>2</v>
      </c>
      <c r="G223">
        <f t="shared" si="8"/>
        <v>139.04</v>
      </c>
    </row>
    <row r="224" spans="1:7">
      <c r="A224" s="1">
        <f t="shared" si="9"/>
        <v>45514</v>
      </c>
      <c r="B224" t="s">
        <v>54</v>
      </c>
      <c r="C224" t="s">
        <v>15</v>
      </c>
      <c r="D224" t="s">
        <v>9</v>
      </c>
      <c r="E224">
        <v>69.52</v>
      </c>
      <c r="F224" s="7">
        <v>0</v>
      </c>
      <c r="G224">
        <f t="shared" si="8"/>
        <v>0</v>
      </c>
    </row>
    <row r="225" spans="1:7">
      <c r="A225" s="1">
        <f t="shared" si="9"/>
        <v>45515</v>
      </c>
      <c r="B225" t="s">
        <v>54</v>
      </c>
      <c r="C225" t="s">
        <v>15</v>
      </c>
      <c r="D225" t="s">
        <v>9</v>
      </c>
      <c r="E225">
        <v>69.52</v>
      </c>
      <c r="F225" s="7">
        <v>0</v>
      </c>
      <c r="G225">
        <f t="shared" si="8"/>
        <v>0</v>
      </c>
    </row>
    <row r="226" spans="1:7">
      <c r="A226" s="1">
        <f t="shared" si="9"/>
        <v>45516</v>
      </c>
      <c r="B226" t="s">
        <v>54</v>
      </c>
      <c r="C226" t="s">
        <v>15</v>
      </c>
      <c r="D226" t="s">
        <v>9</v>
      </c>
      <c r="E226">
        <v>69.52</v>
      </c>
      <c r="F226" s="7">
        <v>1</v>
      </c>
      <c r="G226">
        <f t="shared" si="8"/>
        <v>69.52</v>
      </c>
    </row>
    <row r="227" spans="1:7">
      <c r="A227" s="1">
        <f t="shared" si="9"/>
        <v>45517</v>
      </c>
      <c r="B227" t="s">
        <v>54</v>
      </c>
      <c r="C227" t="s">
        <v>15</v>
      </c>
      <c r="D227" t="s">
        <v>9</v>
      </c>
      <c r="E227">
        <v>69.52</v>
      </c>
      <c r="F227" s="7">
        <v>2</v>
      </c>
      <c r="G227">
        <f t="shared" si="8"/>
        <v>139.04</v>
      </c>
    </row>
    <row r="228" spans="1:7">
      <c r="A228" s="1">
        <f t="shared" si="9"/>
        <v>45518</v>
      </c>
      <c r="B228" t="s">
        <v>54</v>
      </c>
      <c r="C228" t="s">
        <v>15</v>
      </c>
      <c r="D228" t="s">
        <v>9</v>
      </c>
      <c r="E228">
        <v>69.52</v>
      </c>
      <c r="F228" s="7">
        <v>2</v>
      </c>
      <c r="G228">
        <f t="shared" si="8"/>
        <v>139.04</v>
      </c>
    </row>
    <row r="229" spans="1:7">
      <c r="A229" s="1">
        <f t="shared" si="9"/>
        <v>45519</v>
      </c>
      <c r="B229" t="s">
        <v>54</v>
      </c>
      <c r="C229" t="s">
        <v>15</v>
      </c>
      <c r="D229" t="s">
        <v>9</v>
      </c>
      <c r="E229">
        <v>69.52</v>
      </c>
      <c r="F229" s="7">
        <v>13</v>
      </c>
      <c r="G229">
        <f t="shared" si="8"/>
        <v>903.76</v>
      </c>
    </row>
    <row r="230" spans="1:7">
      <c r="A230" s="1">
        <f t="shared" si="9"/>
        <v>45520</v>
      </c>
      <c r="B230" t="s">
        <v>54</v>
      </c>
      <c r="C230" t="s">
        <v>15</v>
      </c>
      <c r="D230" t="s">
        <v>9</v>
      </c>
      <c r="E230">
        <v>69.52</v>
      </c>
      <c r="F230" s="7">
        <v>2</v>
      </c>
      <c r="G230">
        <f t="shared" si="8"/>
        <v>139.04</v>
      </c>
    </row>
    <row r="231" spans="1:7">
      <c r="A231" s="1">
        <f t="shared" si="9"/>
        <v>45521</v>
      </c>
      <c r="B231" t="s">
        <v>54</v>
      </c>
      <c r="C231" t="s">
        <v>15</v>
      </c>
      <c r="D231" t="s">
        <v>9</v>
      </c>
      <c r="E231">
        <v>69.52</v>
      </c>
      <c r="F231" s="7">
        <v>0</v>
      </c>
      <c r="G231">
        <f t="shared" si="8"/>
        <v>0</v>
      </c>
    </row>
    <row r="232" spans="1:7">
      <c r="A232" s="1">
        <f t="shared" si="9"/>
        <v>45522</v>
      </c>
      <c r="B232" t="s">
        <v>54</v>
      </c>
      <c r="C232" t="s">
        <v>15</v>
      </c>
      <c r="D232" t="s">
        <v>9</v>
      </c>
      <c r="E232">
        <v>69.52</v>
      </c>
      <c r="F232" s="7">
        <v>0</v>
      </c>
      <c r="G232">
        <f t="shared" si="8"/>
        <v>0</v>
      </c>
    </row>
    <row r="233" spans="1:7">
      <c r="A233" s="1">
        <f t="shared" si="9"/>
        <v>45523</v>
      </c>
      <c r="B233" t="s">
        <v>54</v>
      </c>
      <c r="C233" t="s">
        <v>15</v>
      </c>
      <c r="D233" t="s">
        <v>9</v>
      </c>
      <c r="E233">
        <v>69.52</v>
      </c>
      <c r="F233" s="7">
        <v>3</v>
      </c>
      <c r="G233">
        <f t="shared" si="8"/>
        <v>208.56</v>
      </c>
    </row>
    <row r="234" spans="1:7">
      <c r="A234" s="1">
        <f t="shared" si="9"/>
        <v>45524</v>
      </c>
      <c r="B234" t="s">
        <v>54</v>
      </c>
      <c r="C234" t="s">
        <v>15</v>
      </c>
      <c r="D234" t="s">
        <v>9</v>
      </c>
      <c r="E234">
        <v>69.52</v>
      </c>
      <c r="F234" s="7">
        <v>3</v>
      </c>
      <c r="G234">
        <f t="shared" si="8"/>
        <v>208.56</v>
      </c>
    </row>
    <row r="235" spans="1:7">
      <c r="A235" s="1">
        <f t="shared" si="9"/>
        <v>45525</v>
      </c>
      <c r="B235" t="s">
        <v>54</v>
      </c>
      <c r="C235" t="s">
        <v>15</v>
      </c>
      <c r="D235" t="s">
        <v>9</v>
      </c>
      <c r="E235">
        <v>69.52</v>
      </c>
      <c r="F235" s="7">
        <v>1</v>
      </c>
      <c r="G235">
        <f t="shared" si="8"/>
        <v>69.52</v>
      </c>
    </row>
    <row r="236" spans="1:7">
      <c r="A236" s="1">
        <f t="shared" si="9"/>
        <v>45526</v>
      </c>
      <c r="B236" t="s">
        <v>54</v>
      </c>
      <c r="C236" t="s">
        <v>15</v>
      </c>
      <c r="D236" t="s">
        <v>9</v>
      </c>
      <c r="E236">
        <v>69.52</v>
      </c>
      <c r="F236" s="7">
        <v>1</v>
      </c>
      <c r="G236">
        <f t="shared" si="8"/>
        <v>69.52</v>
      </c>
    </row>
    <row r="237" spans="1:7">
      <c r="A237" s="1">
        <f t="shared" si="9"/>
        <v>45527</v>
      </c>
      <c r="B237" t="s">
        <v>54</v>
      </c>
      <c r="C237" t="s">
        <v>15</v>
      </c>
      <c r="D237" t="s">
        <v>9</v>
      </c>
      <c r="E237">
        <v>69.52</v>
      </c>
      <c r="F237" s="7">
        <v>2</v>
      </c>
      <c r="G237">
        <f t="shared" si="8"/>
        <v>139.04</v>
      </c>
    </row>
    <row r="238" spans="1:7">
      <c r="A238" s="1">
        <f t="shared" si="9"/>
        <v>45528</v>
      </c>
      <c r="B238" t="s">
        <v>54</v>
      </c>
      <c r="C238" t="s">
        <v>15</v>
      </c>
      <c r="D238" t="s">
        <v>9</v>
      </c>
      <c r="E238">
        <v>69.52</v>
      </c>
      <c r="F238" s="7">
        <v>0</v>
      </c>
      <c r="G238">
        <f t="shared" si="8"/>
        <v>0</v>
      </c>
    </row>
    <row r="239" spans="1:7">
      <c r="A239" s="1">
        <f t="shared" si="9"/>
        <v>45529</v>
      </c>
      <c r="B239" t="s">
        <v>54</v>
      </c>
      <c r="C239" t="s">
        <v>15</v>
      </c>
      <c r="D239" t="s">
        <v>9</v>
      </c>
      <c r="E239">
        <v>69.52</v>
      </c>
      <c r="F239" s="7">
        <v>0</v>
      </c>
      <c r="G239">
        <f t="shared" si="8"/>
        <v>0</v>
      </c>
    </row>
    <row r="240" spans="1:7">
      <c r="A240" s="1">
        <f t="shared" si="9"/>
        <v>45530</v>
      </c>
      <c r="B240" t="s">
        <v>54</v>
      </c>
      <c r="C240" t="s">
        <v>15</v>
      </c>
      <c r="D240" t="s">
        <v>9</v>
      </c>
      <c r="E240">
        <v>69.52</v>
      </c>
      <c r="F240" s="7">
        <v>2</v>
      </c>
      <c r="G240">
        <f t="shared" si="8"/>
        <v>139.04</v>
      </c>
    </row>
    <row r="241" spans="1:7">
      <c r="A241" s="1">
        <f t="shared" si="9"/>
        <v>45531</v>
      </c>
      <c r="B241" t="s">
        <v>54</v>
      </c>
      <c r="C241" t="s">
        <v>15</v>
      </c>
      <c r="D241" t="s">
        <v>9</v>
      </c>
      <c r="E241">
        <v>69.52</v>
      </c>
      <c r="F241" s="7">
        <v>2</v>
      </c>
      <c r="G241">
        <f t="shared" si="8"/>
        <v>139.04</v>
      </c>
    </row>
    <row r="242" spans="1:7">
      <c r="A242" s="1">
        <f t="shared" si="9"/>
        <v>45532</v>
      </c>
      <c r="B242" t="s">
        <v>54</v>
      </c>
      <c r="C242" t="s">
        <v>15</v>
      </c>
      <c r="D242" t="s">
        <v>9</v>
      </c>
      <c r="E242">
        <v>69.52</v>
      </c>
      <c r="F242" s="7">
        <v>2</v>
      </c>
      <c r="G242">
        <f t="shared" si="8"/>
        <v>139.04</v>
      </c>
    </row>
    <row r="243" spans="1:7">
      <c r="A243" s="1">
        <f t="shared" si="9"/>
        <v>45533</v>
      </c>
      <c r="B243" t="s">
        <v>54</v>
      </c>
      <c r="C243" t="s">
        <v>15</v>
      </c>
      <c r="D243" t="s">
        <v>9</v>
      </c>
      <c r="E243">
        <v>69.52</v>
      </c>
      <c r="F243" s="7">
        <v>2</v>
      </c>
      <c r="G243">
        <f t="shared" si="8"/>
        <v>139.04</v>
      </c>
    </row>
    <row r="244" spans="1:7">
      <c r="A244" s="1">
        <f t="shared" si="9"/>
        <v>45534</v>
      </c>
      <c r="B244" t="s">
        <v>54</v>
      </c>
      <c r="C244" t="s">
        <v>15</v>
      </c>
      <c r="D244" t="s">
        <v>9</v>
      </c>
      <c r="E244">
        <v>69.52</v>
      </c>
      <c r="F244" s="7"/>
      <c r="G244">
        <f t="shared" si="8"/>
        <v>0</v>
      </c>
    </row>
    <row r="245" spans="1:7">
      <c r="A245" s="1">
        <f t="shared" si="9"/>
        <v>45535</v>
      </c>
      <c r="B245" t="s">
        <v>54</v>
      </c>
      <c r="C245" t="s">
        <v>15</v>
      </c>
      <c r="D245" t="s">
        <v>9</v>
      </c>
      <c r="E245">
        <v>69.52</v>
      </c>
      <c r="F245" s="7">
        <v>0</v>
      </c>
      <c r="G245">
        <f t="shared" si="8"/>
        <v>0</v>
      </c>
    </row>
    <row r="246" spans="1:7">
      <c r="A246" s="1">
        <v>45505</v>
      </c>
      <c r="B246" t="s">
        <v>54</v>
      </c>
      <c r="C246" t="s">
        <v>15</v>
      </c>
      <c r="D246" t="s">
        <v>8</v>
      </c>
      <c r="E246">
        <v>0.25</v>
      </c>
      <c r="F246" s="7">
        <v>0</v>
      </c>
      <c r="G246">
        <f t="shared" si="8"/>
        <v>0</v>
      </c>
    </row>
    <row r="247" spans="1:7">
      <c r="A247" s="1">
        <f>A246+1</f>
        <v>45506</v>
      </c>
      <c r="B247" t="s">
        <v>54</v>
      </c>
      <c r="C247" t="s">
        <v>15</v>
      </c>
      <c r="D247" t="s">
        <v>8</v>
      </c>
      <c r="E247">
        <v>0.25</v>
      </c>
      <c r="F247" s="7">
        <v>0</v>
      </c>
      <c r="G247">
        <f t="shared" si="8"/>
        <v>0</v>
      </c>
    </row>
    <row r="248" spans="1:7">
      <c r="A248" s="1">
        <f t="shared" ref="A248:A276" si="10">A247+1</f>
        <v>45507</v>
      </c>
      <c r="B248" t="s">
        <v>54</v>
      </c>
      <c r="C248" t="s">
        <v>15</v>
      </c>
      <c r="D248" t="s">
        <v>8</v>
      </c>
      <c r="E248">
        <v>0.25</v>
      </c>
      <c r="F248" s="7">
        <v>0</v>
      </c>
      <c r="G248">
        <f t="shared" si="8"/>
        <v>0</v>
      </c>
    </row>
    <row r="249" spans="1:7">
      <c r="A249" s="1">
        <f t="shared" si="10"/>
        <v>45508</v>
      </c>
      <c r="B249" t="s">
        <v>54</v>
      </c>
      <c r="C249" t="s">
        <v>15</v>
      </c>
      <c r="D249" t="s">
        <v>8</v>
      </c>
      <c r="E249">
        <v>0.25</v>
      </c>
      <c r="F249" s="7">
        <v>0</v>
      </c>
      <c r="G249">
        <f t="shared" si="8"/>
        <v>0</v>
      </c>
    </row>
    <row r="250" spans="1:7">
      <c r="A250" s="1">
        <f t="shared" si="10"/>
        <v>45509</v>
      </c>
      <c r="B250" t="s">
        <v>54</v>
      </c>
      <c r="C250" t="s">
        <v>15</v>
      </c>
      <c r="D250" t="s">
        <v>8</v>
      </c>
      <c r="E250">
        <v>0.25</v>
      </c>
      <c r="F250" s="7">
        <v>0</v>
      </c>
      <c r="G250">
        <f t="shared" si="8"/>
        <v>0</v>
      </c>
    </row>
    <row r="251" spans="1:7">
      <c r="A251" s="1">
        <f t="shared" si="10"/>
        <v>45510</v>
      </c>
      <c r="B251" t="s">
        <v>54</v>
      </c>
      <c r="C251" t="s">
        <v>15</v>
      </c>
      <c r="D251" t="s">
        <v>8</v>
      </c>
      <c r="E251">
        <v>0.25</v>
      </c>
      <c r="F251" s="7">
        <v>1</v>
      </c>
      <c r="G251">
        <f t="shared" si="8"/>
        <v>0.25</v>
      </c>
    </row>
    <row r="252" spans="1:7">
      <c r="A252" s="1">
        <f t="shared" si="10"/>
        <v>45511</v>
      </c>
      <c r="B252" t="s">
        <v>54</v>
      </c>
      <c r="C252" t="s">
        <v>15</v>
      </c>
      <c r="D252" t="s">
        <v>8</v>
      </c>
      <c r="E252">
        <v>0.25</v>
      </c>
      <c r="F252" s="7">
        <v>0</v>
      </c>
      <c r="G252">
        <f t="shared" si="8"/>
        <v>0</v>
      </c>
    </row>
    <row r="253" spans="1:7">
      <c r="A253" s="1">
        <f t="shared" si="10"/>
        <v>45512</v>
      </c>
      <c r="B253" t="s">
        <v>54</v>
      </c>
      <c r="C253" t="s">
        <v>15</v>
      </c>
      <c r="D253" t="s">
        <v>8</v>
      </c>
      <c r="E253">
        <v>0.25</v>
      </c>
      <c r="F253" s="7">
        <v>0</v>
      </c>
      <c r="G253">
        <f t="shared" si="8"/>
        <v>0</v>
      </c>
    </row>
    <row r="254" spans="1:7">
      <c r="A254" s="1">
        <f t="shared" si="10"/>
        <v>45513</v>
      </c>
      <c r="B254" t="s">
        <v>54</v>
      </c>
      <c r="C254" t="s">
        <v>15</v>
      </c>
      <c r="D254" t="s">
        <v>8</v>
      </c>
      <c r="E254">
        <v>0.25</v>
      </c>
      <c r="F254" s="7">
        <v>0</v>
      </c>
      <c r="G254">
        <f t="shared" si="8"/>
        <v>0</v>
      </c>
    </row>
    <row r="255" spans="1:7">
      <c r="A255" s="1">
        <f t="shared" si="10"/>
        <v>45514</v>
      </c>
      <c r="B255" t="s">
        <v>54</v>
      </c>
      <c r="C255" t="s">
        <v>15</v>
      </c>
      <c r="D255" t="s">
        <v>8</v>
      </c>
      <c r="E255">
        <v>0.25</v>
      </c>
      <c r="F255" s="7">
        <v>0</v>
      </c>
      <c r="G255">
        <f t="shared" si="8"/>
        <v>0</v>
      </c>
    </row>
    <row r="256" spans="1:7">
      <c r="A256" s="1">
        <f t="shared" si="10"/>
        <v>45515</v>
      </c>
      <c r="B256" t="s">
        <v>54</v>
      </c>
      <c r="C256" t="s">
        <v>15</v>
      </c>
      <c r="D256" t="s">
        <v>8</v>
      </c>
      <c r="E256">
        <v>0.25</v>
      </c>
      <c r="F256" s="7">
        <v>0</v>
      </c>
      <c r="G256">
        <f t="shared" si="8"/>
        <v>0</v>
      </c>
    </row>
    <row r="257" spans="1:7">
      <c r="A257" s="1">
        <f t="shared" si="10"/>
        <v>45516</v>
      </c>
      <c r="B257" t="s">
        <v>54</v>
      </c>
      <c r="C257" t="s">
        <v>15</v>
      </c>
      <c r="D257" t="s">
        <v>8</v>
      </c>
      <c r="E257">
        <v>0.25</v>
      </c>
      <c r="F257" s="7">
        <v>0</v>
      </c>
      <c r="G257">
        <f t="shared" si="8"/>
        <v>0</v>
      </c>
    </row>
    <row r="258" spans="1:7">
      <c r="A258" s="1">
        <f t="shared" si="10"/>
        <v>45517</v>
      </c>
      <c r="B258" t="s">
        <v>54</v>
      </c>
      <c r="C258" t="s">
        <v>15</v>
      </c>
      <c r="D258" t="s">
        <v>8</v>
      </c>
      <c r="E258">
        <v>0.25</v>
      </c>
      <c r="F258" s="7">
        <v>0</v>
      </c>
      <c r="G258">
        <f t="shared" si="8"/>
        <v>0</v>
      </c>
    </row>
    <row r="259" spans="1:7">
      <c r="A259" s="1">
        <f t="shared" si="10"/>
        <v>45518</v>
      </c>
      <c r="B259" t="s">
        <v>54</v>
      </c>
      <c r="C259" t="s">
        <v>15</v>
      </c>
      <c r="D259" t="s">
        <v>8</v>
      </c>
      <c r="E259">
        <v>0.25</v>
      </c>
      <c r="F259" s="7">
        <v>0</v>
      </c>
      <c r="G259">
        <f t="shared" ref="G259:G322" si="11">F259*E259</f>
        <v>0</v>
      </c>
    </row>
    <row r="260" spans="1:7">
      <c r="A260" s="1">
        <f t="shared" si="10"/>
        <v>45519</v>
      </c>
      <c r="B260" t="s">
        <v>54</v>
      </c>
      <c r="C260" t="s">
        <v>15</v>
      </c>
      <c r="D260" t="s">
        <v>8</v>
      </c>
      <c r="E260">
        <v>0.25</v>
      </c>
      <c r="F260" s="7">
        <v>1</v>
      </c>
      <c r="G260">
        <f t="shared" si="11"/>
        <v>0.25</v>
      </c>
    </row>
    <row r="261" spans="1:7">
      <c r="A261" s="1">
        <f t="shared" si="10"/>
        <v>45520</v>
      </c>
      <c r="B261" t="s">
        <v>54</v>
      </c>
      <c r="C261" t="s">
        <v>15</v>
      </c>
      <c r="D261" t="s">
        <v>8</v>
      </c>
      <c r="E261">
        <v>0.25</v>
      </c>
      <c r="F261" s="7">
        <v>1</v>
      </c>
      <c r="G261">
        <f t="shared" si="11"/>
        <v>0.25</v>
      </c>
    </row>
    <row r="262" spans="1:7">
      <c r="A262" s="1">
        <f t="shared" si="10"/>
        <v>45521</v>
      </c>
      <c r="B262" t="s">
        <v>54</v>
      </c>
      <c r="C262" t="s">
        <v>15</v>
      </c>
      <c r="D262" t="s">
        <v>8</v>
      </c>
      <c r="E262">
        <v>0.25</v>
      </c>
      <c r="F262" s="7">
        <v>0</v>
      </c>
      <c r="G262">
        <f t="shared" si="11"/>
        <v>0</v>
      </c>
    </row>
    <row r="263" spans="1:7">
      <c r="A263" s="1">
        <f t="shared" si="10"/>
        <v>45522</v>
      </c>
      <c r="B263" t="s">
        <v>54</v>
      </c>
      <c r="C263" t="s">
        <v>15</v>
      </c>
      <c r="D263" t="s">
        <v>8</v>
      </c>
      <c r="E263">
        <v>0.25</v>
      </c>
      <c r="F263" s="7">
        <v>0</v>
      </c>
      <c r="G263">
        <f t="shared" si="11"/>
        <v>0</v>
      </c>
    </row>
    <row r="264" spans="1:7">
      <c r="A264" s="1">
        <f t="shared" si="10"/>
        <v>45523</v>
      </c>
      <c r="B264" t="s">
        <v>54</v>
      </c>
      <c r="C264" t="s">
        <v>15</v>
      </c>
      <c r="D264" t="s">
        <v>8</v>
      </c>
      <c r="E264">
        <v>0.25</v>
      </c>
      <c r="F264" s="7">
        <v>0</v>
      </c>
      <c r="G264">
        <f t="shared" si="11"/>
        <v>0</v>
      </c>
    </row>
    <row r="265" spans="1:7">
      <c r="A265" s="1">
        <f t="shared" si="10"/>
        <v>45524</v>
      </c>
      <c r="B265" t="s">
        <v>54</v>
      </c>
      <c r="C265" t="s">
        <v>15</v>
      </c>
      <c r="D265" t="s">
        <v>8</v>
      </c>
      <c r="E265">
        <v>0.25</v>
      </c>
      <c r="F265" s="7">
        <v>0</v>
      </c>
      <c r="G265">
        <f t="shared" si="11"/>
        <v>0</v>
      </c>
    </row>
    <row r="266" spans="1:7">
      <c r="A266" s="1">
        <f t="shared" si="10"/>
        <v>45525</v>
      </c>
      <c r="B266" t="s">
        <v>54</v>
      </c>
      <c r="C266" t="s">
        <v>15</v>
      </c>
      <c r="D266" t="s">
        <v>8</v>
      </c>
      <c r="E266">
        <v>0.25</v>
      </c>
      <c r="F266" s="7">
        <v>0</v>
      </c>
      <c r="G266">
        <f t="shared" si="11"/>
        <v>0</v>
      </c>
    </row>
    <row r="267" spans="1:7">
      <c r="A267" s="1">
        <f t="shared" si="10"/>
        <v>45526</v>
      </c>
      <c r="B267" t="s">
        <v>54</v>
      </c>
      <c r="C267" t="s">
        <v>15</v>
      </c>
      <c r="D267" t="s">
        <v>8</v>
      </c>
      <c r="E267">
        <v>0.25</v>
      </c>
      <c r="F267" s="7">
        <v>0</v>
      </c>
      <c r="G267">
        <f t="shared" si="11"/>
        <v>0</v>
      </c>
    </row>
    <row r="268" spans="1:7">
      <c r="A268" s="1">
        <f t="shared" si="10"/>
        <v>45527</v>
      </c>
      <c r="B268" t="s">
        <v>54</v>
      </c>
      <c r="C268" t="s">
        <v>15</v>
      </c>
      <c r="D268" t="s">
        <v>8</v>
      </c>
      <c r="E268">
        <v>0.25</v>
      </c>
      <c r="F268" s="7">
        <v>0</v>
      </c>
      <c r="G268">
        <f t="shared" si="11"/>
        <v>0</v>
      </c>
    </row>
    <row r="269" spans="1:7">
      <c r="A269" s="1">
        <f t="shared" si="10"/>
        <v>45528</v>
      </c>
      <c r="B269" t="s">
        <v>54</v>
      </c>
      <c r="C269" t="s">
        <v>15</v>
      </c>
      <c r="D269" t="s">
        <v>8</v>
      </c>
      <c r="E269">
        <v>0.25</v>
      </c>
      <c r="F269" s="7">
        <v>0</v>
      </c>
      <c r="G269">
        <f t="shared" si="11"/>
        <v>0</v>
      </c>
    </row>
    <row r="270" spans="1:7">
      <c r="A270" s="1">
        <f t="shared" si="10"/>
        <v>45529</v>
      </c>
      <c r="B270" t="s">
        <v>54</v>
      </c>
      <c r="C270" t="s">
        <v>15</v>
      </c>
      <c r="D270" t="s">
        <v>8</v>
      </c>
      <c r="E270">
        <v>0.25</v>
      </c>
      <c r="F270" s="7">
        <v>0</v>
      </c>
      <c r="G270">
        <f t="shared" si="11"/>
        <v>0</v>
      </c>
    </row>
    <row r="271" spans="1:7">
      <c r="A271" s="1">
        <f t="shared" si="10"/>
        <v>45530</v>
      </c>
      <c r="B271" t="s">
        <v>54</v>
      </c>
      <c r="C271" t="s">
        <v>15</v>
      </c>
      <c r="D271" t="s">
        <v>8</v>
      </c>
      <c r="E271">
        <v>0.25</v>
      </c>
      <c r="F271" s="7">
        <v>0</v>
      </c>
      <c r="G271">
        <f t="shared" si="11"/>
        <v>0</v>
      </c>
    </row>
    <row r="272" spans="1:7">
      <c r="A272" s="1">
        <f t="shared" si="10"/>
        <v>45531</v>
      </c>
      <c r="B272" t="s">
        <v>54</v>
      </c>
      <c r="C272" t="s">
        <v>15</v>
      </c>
      <c r="D272" t="s">
        <v>8</v>
      </c>
      <c r="E272">
        <v>0.25</v>
      </c>
      <c r="F272" s="7">
        <v>0</v>
      </c>
      <c r="G272">
        <f t="shared" si="11"/>
        <v>0</v>
      </c>
    </row>
    <row r="273" spans="1:7">
      <c r="A273" s="1">
        <f t="shared" si="10"/>
        <v>45532</v>
      </c>
      <c r="B273" t="s">
        <v>54</v>
      </c>
      <c r="C273" t="s">
        <v>15</v>
      </c>
      <c r="D273" t="s">
        <v>8</v>
      </c>
      <c r="E273">
        <v>0.25</v>
      </c>
      <c r="F273" s="7">
        <v>0</v>
      </c>
      <c r="G273">
        <f t="shared" si="11"/>
        <v>0</v>
      </c>
    </row>
    <row r="274" spans="1:7">
      <c r="A274" s="1">
        <f t="shared" si="10"/>
        <v>45533</v>
      </c>
      <c r="B274" t="s">
        <v>54</v>
      </c>
      <c r="C274" t="s">
        <v>15</v>
      </c>
      <c r="D274" t="s">
        <v>8</v>
      </c>
      <c r="E274">
        <v>0.25</v>
      </c>
      <c r="F274" s="7">
        <v>0</v>
      </c>
      <c r="G274">
        <f t="shared" si="11"/>
        <v>0</v>
      </c>
    </row>
    <row r="275" spans="1:7">
      <c r="A275" s="1">
        <f t="shared" si="10"/>
        <v>45534</v>
      </c>
      <c r="B275" t="s">
        <v>54</v>
      </c>
      <c r="C275" t="s">
        <v>15</v>
      </c>
      <c r="D275" t="s">
        <v>8</v>
      </c>
      <c r="E275">
        <v>0.25</v>
      </c>
      <c r="F275" s="7"/>
      <c r="G275">
        <f t="shared" si="11"/>
        <v>0</v>
      </c>
    </row>
    <row r="276" spans="1:7">
      <c r="A276" s="1">
        <f t="shared" si="10"/>
        <v>45535</v>
      </c>
      <c r="B276" t="s">
        <v>54</v>
      </c>
      <c r="C276" t="s">
        <v>15</v>
      </c>
      <c r="D276" t="s">
        <v>8</v>
      </c>
      <c r="E276">
        <v>0.25</v>
      </c>
      <c r="F276" s="7">
        <v>0</v>
      </c>
      <c r="G276">
        <f t="shared" si="11"/>
        <v>0</v>
      </c>
    </row>
    <row r="277" spans="1:7">
      <c r="A277" s="1">
        <v>45505</v>
      </c>
      <c r="B277" t="s">
        <v>54</v>
      </c>
      <c r="C277" t="s">
        <v>15</v>
      </c>
      <c r="D277" t="s">
        <v>7</v>
      </c>
      <c r="E277">
        <v>120</v>
      </c>
      <c r="F277" s="7">
        <v>1</v>
      </c>
      <c r="G277">
        <f t="shared" si="11"/>
        <v>120</v>
      </c>
    </row>
    <row r="278" spans="1:7">
      <c r="A278" s="1">
        <f>A277+1</f>
        <v>45506</v>
      </c>
      <c r="B278" t="s">
        <v>54</v>
      </c>
      <c r="C278" t="s">
        <v>15</v>
      </c>
      <c r="D278" t="s">
        <v>7</v>
      </c>
      <c r="E278">
        <v>120</v>
      </c>
      <c r="F278" s="7">
        <v>0</v>
      </c>
      <c r="G278">
        <f t="shared" si="11"/>
        <v>0</v>
      </c>
    </row>
    <row r="279" spans="1:7">
      <c r="A279" s="1">
        <f t="shared" ref="A279:A307" si="12">A278+1</f>
        <v>45507</v>
      </c>
      <c r="B279" t="s">
        <v>54</v>
      </c>
      <c r="C279" t="s">
        <v>15</v>
      </c>
      <c r="D279" t="s">
        <v>7</v>
      </c>
      <c r="E279">
        <v>120</v>
      </c>
      <c r="F279" s="7">
        <v>0</v>
      </c>
      <c r="G279">
        <f t="shared" si="11"/>
        <v>0</v>
      </c>
    </row>
    <row r="280" spans="1:7">
      <c r="A280" s="1">
        <f t="shared" si="12"/>
        <v>45508</v>
      </c>
      <c r="B280" t="s">
        <v>54</v>
      </c>
      <c r="C280" t="s">
        <v>15</v>
      </c>
      <c r="D280" t="s">
        <v>7</v>
      </c>
      <c r="E280">
        <v>120</v>
      </c>
      <c r="F280" s="7">
        <v>0</v>
      </c>
      <c r="G280">
        <f t="shared" si="11"/>
        <v>0</v>
      </c>
    </row>
    <row r="281" spans="1:7">
      <c r="A281" s="1">
        <f t="shared" si="12"/>
        <v>45509</v>
      </c>
      <c r="B281" t="s">
        <v>54</v>
      </c>
      <c r="C281" t="s">
        <v>15</v>
      </c>
      <c r="D281" t="s">
        <v>7</v>
      </c>
      <c r="E281">
        <v>120</v>
      </c>
      <c r="F281" s="7">
        <v>0</v>
      </c>
      <c r="G281">
        <f t="shared" si="11"/>
        <v>0</v>
      </c>
    </row>
    <row r="282" spans="1:7">
      <c r="A282" s="1">
        <f t="shared" si="12"/>
        <v>45510</v>
      </c>
      <c r="B282" t="s">
        <v>54</v>
      </c>
      <c r="C282" t="s">
        <v>15</v>
      </c>
      <c r="D282" t="s">
        <v>7</v>
      </c>
      <c r="E282">
        <v>120</v>
      </c>
      <c r="F282" s="7">
        <v>0</v>
      </c>
      <c r="G282">
        <f t="shared" si="11"/>
        <v>0</v>
      </c>
    </row>
    <row r="283" spans="1:7">
      <c r="A283" s="1">
        <f t="shared" si="12"/>
        <v>45511</v>
      </c>
      <c r="B283" t="s">
        <v>54</v>
      </c>
      <c r="C283" t="s">
        <v>15</v>
      </c>
      <c r="D283" t="s">
        <v>7</v>
      </c>
      <c r="E283">
        <v>120</v>
      </c>
      <c r="F283" s="7">
        <v>0</v>
      </c>
      <c r="G283">
        <f t="shared" si="11"/>
        <v>0</v>
      </c>
    </row>
    <row r="284" spans="1:7">
      <c r="A284" s="1">
        <f t="shared" si="12"/>
        <v>45512</v>
      </c>
      <c r="B284" t="s">
        <v>54</v>
      </c>
      <c r="C284" t="s">
        <v>15</v>
      </c>
      <c r="D284" t="s">
        <v>7</v>
      </c>
      <c r="E284">
        <v>120</v>
      </c>
      <c r="F284" s="7">
        <v>1</v>
      </c>
      <c r="G284">
        <f t="shared" si="11"/>
        <v>120</v>
      </c>
    </row>
    <row r="285" spans="1:7">
      <c r="A285" s="1">
        <f t="shared" si="12"/>
        <v>45513</v>
      </c>
      <c r="B285" t="s">
        <v>54</v>
      </c>
      <c r="C285" t="s">
        <v>15</v>
      </c>
      <c r="D285" t="s">
        <v>7</v>
      </c>
      <c r="E285">
        <v>120</v>
      </c>
      <c r="F285" s="7">
        <v>0</v>
      </c>
      <c r="G285">
        <f t="shared" si="11"/>
        <v>0</v>
      </c>
    </row>
    <row r="286" spans="1:7">
      <c r="A286" s="1">
        <f t="shared" si="12"/>
        <v>45514</v>
      </c>
      <c r="B286" t="s">
        <v>54</v>
      </c>
      <c r="C286" t="s">
        <v>15</v>
      </c>
      <c r="D286" t="s">
        <v>7</v>
      </c>
      <c r="E286">
        <v>120</v>
      </c>
      <c r="F286" s="7">
        <v>0</v>
      </c>
      <c r="G286">
        <f t="shared" si="11"/>
        <v>0</v>
      </c>
    </row>
    <row r="287" spans="1:7">
      <c r="A287" s="1">
        <f t="shared" si="12"/>
        <v>45515</v>
      </c>
      <c r="B287" t="s">
        <v>54</v>
      </c>
      <c r="C287" t="s">
        <v>15</v>
      </c>
      <c r="D287" t="s">
        <v>7</v>
      </c>
      <c r="E287">
        <v>120</v>
      </c>
      <c r="F287" s="7">
        <v>0</v>
      </c>
      <c r="G287">
        <f t="shared" si="11"/>
        <v>0</v>
      </c>
    </row>
    <row r="288" spans="1:7">
      <c r="A288" s="1">
        <f t="shared" si="12"/>
        <v>45516</v>
      </c>
      <c r="B288" t="s">
        <v>54</v>
      </c>
      <c r="C288" t="s">
        <v>15</v>
      </c>
      <c r="D288" t="s">
        <v>7</v>
      </c>
      <c r="E288">
        <v>120</v>
      </c>
      <c r="F288" s="7">
        <v>0</v>
      </c>
      <c r="G288">
        <f t="shared" si="11"/>
        <v>0</v>
      </c>
    </row>
    <row r="289" spans="1:7">
      <c r="A289" s="1">
        <f t="shared" si="12"/>
        <v>45517</v>
      </c>
      <c r="B289" t="s">
        <v>54</v>
      </c>
      <c r="C289" t="s">
        <v>15</v>
      </c>
      <c r="D289" t="s">
        <v>7</v>
      </c>
      <c r="E289">
        <v>120</v>
      </c>
      <c r="F289" s="7">
        <v>0</v>
      </c>
      <c r="G289">
        <f t="shared" si="11"/>
        <v>0</v>
      </c>
    </row>
    <row r="290" spans="1:7">
      <c r="A290" s="1">
        <f t="shared" si="12"/>
        <v>45518</v>
      </c>
      <c r="B290" t="s">
        <v>54</v>
      </c>
      <c r="C290" t="s">
        <v>15</v>
      </c>
      <c r="D290" t="s">
        <v>7</v>
      </c>
      <c r="E290">
        <v>120</v>
      </c>
      <c r="F290" s="7">
        <v>0</v>
      </c>
      <c r="G290">
        <f t="shared" si="11"/>
        <v>0</v>
      </c>
    </row>
    <row r="291" spans="1:7">
      <c r="A291" s="1">
        <f t="shared" si="12"/>
        <v>45519</v>
      </c>
      <c r="B291" t="s">
        <v>54</v>
      </c>
      <c r="C291" t="s">
        <v>15</v>
      </c>
      <c r="D291" t="s">
        <v>7</v>
      </c>
      <c r="E291">
        <v>120</v>
      </c>
      <c r="F291" s="7">
        <v>3</v>
      </c>
      <c r="G291">
        <f t="shared" si="11"/>
        <v>360</v>
      </c>
    </row>
    <row r="292" spans="1:7">
      <c r="A292" s="1">
        <f t="shared" si="12"/>
        <v>45520</v>
      </c>
      <c r="B292" t="s">
        <v>54</v>
      </c>
      <c r="C292" t="s">
        <v>15</v>
      </c>
      <c r="D292" t="s">
        <v>7</v>
      </c>
      <c r="E292">
        <v>120</v>
      </c>
      <c r="F292" s="7">
        <v>1</v>
      </c>
      <c r="G292">
        <f t="shared" si="11"/>
        <v>120</v>
      </c>
    </row>
    <row r="293" spans="1:7">
      <c r="A293" s="1">
        <f t="shared" si="12"/>
        <v>45521</v>
      </c>
      <c r="B293" t="s">
        <v>54</v>
      </c>
      <c r="C293" t="s">
        <v>15</v>
      </c>
      <c r="D293" t="s">
        <v>7</v>
      </c>
      <c r="E293">
        <v>120</v>
      </c>
      <c r="F293" s="7">
        <v>0</v>
      </c>
      <c r="G293">
        <f t="shared" si="11"/>
        <v>0</v>
      </c>
    </row>
    <row r="294" spans="1:7">
      <c r="A294" s="1">
        <f t="shared" si="12"/>
        <v>45522</v>
      </c>
      <c r="B294" t="s">
        <v>54</v>
      </c>
      <c r="C294" t="s">
        <v>15</v>
      </c>
      <c r="D294" t="s">
        <v>7</v>
      </c>
      <c r="E294">
        <v>120</v>
      </c>
      <c r="F294" s="7">
        <v>0</v>
      </c>
      <c r="G294">
        <f t="shared" si="11"/>
        <v>0</v>
      </c>
    </row>
    <row r="295" spans="1:7">
      <c r="A295" s="1">
        <f t="shared" si="12"/>
        <v>45523</v>
      </c>
      <c r="B295" t="s">
        <v>54</v>
      </c>
      <c r="C295" t="s">
        <v>15</v>
      </c>
      <c r="D295" t="s">
        <v>7</v>
      </c>
      <c r="E295">
        <v>120</v>
      </c>
      <c r="F295" s="7">
        <v>1</v>
      </c>
      <c r="G295">
        <f t="shared" si="11"/>
        <v>120</v>
      </c>
    </row>
    <row r="296" spans="1:7">
      <c r="A296" s="1">
        <f t="shared" si="12"/>
        <v>45524</v>
      </c>
      <c r="B296" t="s">
        <v>54</v>
      </c>
      <c r="C296" t="s">
        <v>15</v>
      </c>
      <c r="D296" t="s">
        <v>7</v>
      </c>
      <c r="E296">
        <v>120</v>
      </c>
      <c r="F296" s="7">
        <v>0</v>
      </c>
      <c r="G296">
        <f t="shared" si="11"/>
        <v>0</v>
      </c>
    </row>
    <row r="297" spans="1:7">
      <c r="A297" s="1">
        <f t="shared" si="12"/>
        <v>45525</v>
      </c>
      <c r="B297" t="s">
        <v>54</v>
      </c>
      <c r="C297" t="s">
        <v>15</v>
      </c>
      <c r="D297" t="s">
        <v>7</v>
      </c>
      <c r="E297">
        <v>120</v>
      </c>
      <c r="F297" s="7">
        <v>0</v>
      </c>
      <c r="G297">
        <f t="shared" si="11"/>
        <v>0</v>
      </c>
    </row>
    <row r="298" spans="1:7">
      <c r="A298" s="1">
        <f t="shared" si="12"/>
        <v>45526</v>
      </c>
      <c r="B298" t="s">
        <v>54</v>
      </c>
      <c r="C298" t="s">
        <v>15</v>
      </c>
      <c r="D298" t="s">
        <v>7</v>
      </c>
      <c r="E298">
        <v>120</v>
      </c>
      <c r="F298" s="7">
        <v>0</v>
      </c>
      <c r="G298">
        <f t="shared" si="11"/>
        <v>0</v>
      </c>
    </row>
    <row r="299" spans="1:7">
      <c r="A299" s="1">
        <f t="shared" si="12"/>
        <v>45527</v>
      </c>
      <c r="B299" t="s">
        <v>54</v>
      </c>
      <c r="C299" t="s">
        <v>15</v>
      </c>
      <c r="D299" t="s">
        <v>7</v>
      </c>
      <c r="E299">
        <v>120</v>
      </c>
      <c r="F299" s="7">
        <v>1</v>
      </c>
      <c r="G299">
        <f t="shared" si="11"/>
        <v>120</v>
      </c>
    </row>
    <row r="300" spans="1:7">
      <c r="A300" s="1">
        <f t="shared" si="12"/>
        <v>45528</v>
      </c>
      <c r="B300" t="s">
        <v>54</v>
      </c>
      <c r="C300" t="s">
        <v>15</v>
      </c>
      <c r="D300" t="s">
        <v>7</v>
      </c>
      <c r="E300">
        <v>120</v>
      </c>
      <c r="F300" s="7">
        <v>0</v>
      </c>
      <c r="G300">
        <f t="shared" si="11"/>
        <v>0</v>
      </c>
    </row>
    <row r="301" spans="1:7">
      <c r="A301" s="1">
        <f t="shared" si="12"/>
        <v>45529</v>
      </c>
      <c r="B301" t="s">
        <v>54</v>
      </c>
      <c r="C301" t="s">
        <v>15</v>
      </c>
      <c r="D301" t="s">
        <v>7</v>
      </c>
      <c r="E301">
        <v>120</v>
      </c>
      <c r="F301" s="7">
        <v>0</v>
      </c>
      <c r="G301">
        <f t="shared" si="11"/>
        <v>0</v>
      </c>
    </row>
    <row r="302" spans="1:7">
      <c r="A302" s="1">
        <f t="shared" si="12"/>
        <v>45530</v>
      </c>
      <c r="B302" t="s">
        <v>54</v>
      </c>
      <c r="C302" t="s">
        <v>15</v>
      </c>
      <c r="D302" t="s">
        <v>7</v>
      </c>
      <c r="E302">
        <v>120</v>
      </c>
      <c r="F302" s="7">
        <v>0</v>
      </c>
      <c r="G302">
        <f t="shared" si="11"/>
        <v>0</v>
      </c>
    </row>
    <row r="303" spans="1:7">
      <c r="A303" s="1">
        <f t="shared" si="12"/>
        <v>45531</v>
      </c>
      <c r="B303" t="s">
        <v>54</v>
      </c>
      <c r="C303" t="s">
        <v>15</v>
      </c>
      <c r="D303" t="s">
        <v>7</v>
      </c>
      <c r="E303">
        <v>120</v>
      </c>
      <c r="F303" s="7">
        <v>0</v>
      </c>
      <c r="G303">
        <f t="shared" si="11"/>
        <v>0</v>
      </c>
    </row>
    <row r="304" spans="1:7">
      <c r="A304" s="1">
        <f t="shared" si="12"/>
        <v>45532</v>
      </c>
      <c r="B304" t="s">
        <v>54</v>
      </c>
      <c r="C304" t="s">
        <v>15</v>
      </c>
      <c r="D304" t="s">
        <v>7</v>
      </c>
      <c r="E304">
        <v>120</v>
      </c>
      <c r="F304" s="7">
        <v>0</v>
      </c>
      <c r="G304">
        <f t="shared" si="11"/>
        <v>0</v>
      </c>
    </row>
    <row r="305" spans="1:7">
      <c r="A305" s="1">
        <f t="shared" si="12"/>
        <v>45533</v>
      </c>
      <c r="B305" t="s">
        <v>54</v>
      </c>
      <c r="C305" t="s">
        <v>15</v>
      </c>
      <c r="D305" t="s">
        <v>7</v>
      </c>
      <c r="E305">
        <v>120</v>
      </c>
      <c r="F305" s="7">
        <v>1</v>
      </c>
      <c r="G305">
        <f t="shared" si="11"/>
        <v>120</v>
      </c>
    </row>
    <row r="306" spans="1:7">
      <c r="A306" s="1">
        <f t="shared" si="12"/>
        <v>45534</v>
      </c>
      <c r="B306" t="s">
        <v>54</v>
      </c>
      <c r="C306" t="s">
        <v>15</v>
      </c>
      <c r="D306" t="s">
        <v>7</v>
      </c>
      <c r="E306">
        <v>120</v>
      </c>
      <c r="F306" s="7"/>
      <c r="G306">
        <f t="shared" si="11"/>
        <v>0</v>
      </c>
    </row>
    <row r="307" spans="1:7">
      <c r="A307" s="1">
        <f t="shared" si="12"/>
        <v>45535</v>
      </c>
      <c r="B307" t="s">
        <v>54</v>
      </c>
      <c r="C307" t="s">
        <v>15</v>
      </c>
      <c r="D307" t="s">
        <v>7</v>
      </c>
      <c r="E307">
        <v>120</v>
      </c>
      <c r="F307" s="7">
        <v>0</v>
      </c>
      <c r="G307">
        <f t="shared" si="11"/>
        <v>0</v>
      </c>
    </row>
    <row r="308" spans="1:7">
      <c r="A308" s="1">
        <v>45505</v>
      </c>
      <c r="B308" t="s">
        <v>56</v>
      </c>
      <c r="C308" t="s">
        <v>40</v>
      </c>
      <c r="D308" t="s">
        <v>41</v>
      </c>
      <c r="E308">
        <v>160</v>
      </c>
      <c r="F308">
        <v>3</v>
      </c>
      <c r="G308">
        <f t="shared" si="11"/>
        <v>480</v>
      </c>
    </row>
    <row r="309" spans="1:7">
      <c r="A309" s="1">
        <v>45506</v>
      </c>
      <c r="B309" t="s">
        <v>56</v>
      </c>
      <c r="C309" t="s">
        <v>40</v>
      </c>
      <c r="D309" t="s">
        <v>41</v>
      </c>
      <c r="E309">
        <v>160</v>
      </c>
      <c r="F309">
        <v>3</v>
      </c>
      <c r="G309">
        <f t="shared" si="11"/>
        <v>480</v>
      </c>
    </row>
    <row r="310" spans="1:7">
      <c r="A310" s="1">
        <v>45507</v>
      </c>
      <c r="B310" t="s">
        <v>56</v>
      </c>
      <c r="C310" t="s">
        <v>40</v>
      </c>
      <c r="D310" t="s">
        <v>41</v>
      </c>
      <c r="E310">
        <v>160</v>
      </c>
      <c r="F310">
        <v>0</v>
      </c>
      <c r="G310">
        <f t="shared" si="11"/>
        <v>0</v>
      </c>
    </row>
    <row r="311" spans="1:7">
      <c r="A311" s="1">
        <v>45508</v>
      </c>
      <c r="B311" t="s">
        <v>56</v>
      </c>
      <c r="C311" t="s">
        <v>40</v>
      </c>
      <c r="D311" t="s">
        <v>41</v>
      </c>
      <c r="E311">
        <v>160</v>
      </c>
      <c r="F311">
        <v>0</v>
      </c>
      <c r="G311">
        <f t="shared" si="11"/>
        <v>0</v>
      </c>
    </row>
    <row r="312" spans="1:7">
      <c r="A312" s="1">
        <v>45509</v>
      </c>
      <c r="B312" t="s">
        <v>56</v>
      </c>
      <c r="C312" t="s">
        <v>40</v>
      </c>
      <c r="D312" t="s">
        <v>41</v>
      </c>
      <c r="E312">
        <v>160</v>
      </c>
      <c r="F312">
        <v>3</v>
      </c>
      <c r="G312">
        <f t="shared" si="11"/>
        <v>480</v>
      </c>
    </row>
    <row r="313" spans="1:7">
      <c r="A313" s="1">
        <v>45510</v>
      </c>
      <c r="B313" t="s">
        <v>56</v>
      </c>
      <c r="C313" t="s">
        <v>40</v>
      </c>
      <c r="D313" t="s">
        <v>41</v>
      </c>
      <c r="E313">
        <v>160</v>
      </c>
      <c r="F313">
        <v>2</v>
      </c>
      <c r="G313">
        <f t="shared" si="11"/>
        <v>320</v>
      </c>
    </row>
    <row r="314" spans="1:7">
      <c r="A314" s="1">
        <v>45511</v>
      </c>
      <c r="B314" t="s">
        <v>56</v>
      </c>
      <c r="C314" t="s">
        <v>40</v>
      </c>
      <c r="D314" t="s">
        <v>41</v>
      </c>
      <c r="E314">
        <v>160</v>
      </c>
      <c r="F314">
        <v>2</v>
      </c>
      <c r="G314">
        <f t="shared" si="11"/>
        <v>320</v>
      </c>
    </row>
    <row r="315" spans="1:7">
      <c r="A315" s="1">
        <v>45512</v>
      </c>
      <c r="B315" t="s">
        <v>56</v>
      </c>
      <c r="C315" t="s">
        <v>40</v>
      </c>
      <c r="D315" t="s">
        <v>41</v>
      </c>
      <c r="E315">
        <v>160</v>
      </c>
      <c r="F315">
        <v>2</v>
      </c>
      <c r="G315">
        <f t="shared" si="11"/>
        <v>320</v>
      </c>
    </row>
    <row r="316" spans="1:7">
      <c r="A316" s="1">
        <v>45513</v>
      </c>
      <c r="B316" t="s">
        <v>56</v>
      </c>
      <c r="C316" t="s">
        <v>40</v>
      </c>
      <c r="D316" t="s">
        <v>41</v>
      </c>
      <c r="E316">
        <v>160</v>
      </c>
      <c r="F316">
        <v>3</v>
      </c>
      <c r="G316">
        <f t="shared" si="11"/>
        <v>480</v>
      </c>
    </row>
    <row r="317" spans="1:7">
      <c r="A317" s="1">
        <v>45514</v>
      </c>
      <c r="B317" t="s">
        <v>56</v>
      </c>
      <c r="C317" t="s">
        <v>40</v>
      </c>
      <c r="D317" t="s">
        <v>41</v>
      </c>
      <c r="E317">
        <v>160</v>
      </c>
      <c r="F317">
        <v>0</v>
      </c>
      <c r="G317">
        <f t="shared" si="11"/>
        <v>0</v>
      </c>
    </row>
    <row r="318" spans="1:7">
      <c r="A318" s="1">
        <v>45515</v>
      </c>
      <c r="B318" t="s">
        <v>56</v>
      </c>
      <c r="C318" t="s">
        <v>40</v>
      </c>
      <c r="D318" t="s">
        <v>41</v>
      </c>
      <c r="E318">
        <v>160</v>
      </c>
      <c r="F318">
        <v>0</v>
      </c>
      <c r="G318">
        <f t="shared" si="11"/>
        <v>0</v>
      </c>
    </row>
    <row r="319" spans="1:7">
      <c r="A319" s="1">
        <v>45516</v>
      </c>
      <c r="B319" t="s">
        <v>56</v>
      </c>
      <c r="C319" t="s">
        <v>40</v>
      </c>
      <c r="D319" t="s">
        <v>41</v>
      </c>
      <c r="E319">
        <v>160</v>
      </c>
      <c r="F319">
        <v>6</v>
      </c>
      <c r="G319">
        <f t="shared" si="11"/>
        <v>960</v>
      </c>
    </row>
    <row r="320" spans="1:7">
      <c r="A320" s="1">
        <v>45517</v>
      </c>
      <c r="B320" t="s">
        <v>56</v>
      </c>
      <c r="C320" t="s">
        <v>40</v>
      </c>
      <c r="D320" t="s">
        <v>41</v>
      </c>
      <c r="E320">
        <v>160</v>
      </c>
      <c r="F320">
        <v>3</v>
      </c>
      <c r="G320">
        <f t="shared" si="11"/>
        <v>480</v>
      </c>
    </row>
    <row r="321" spans="1:7">
      <c r="A321" s="1">
        <v>45518</v>
      </c>
      <c r="B321" t="s">
        <v>56</v>
      </c>
      <c r="C321" t="s">
        <v>40</v>
      </c>
      <c r="D321" t="s">
        <v>41</v>
      </c>
      <c r="E321">
        <v>160</v>
      </c>
      <c r="F321">
        <v>4</v>
      </c>
      <c r="G321">
        <f t="shared" si="11"/>
        <v>640</v>
      </c>
    </row>
    <row r="322" spans="1:7">
      <c r="A322" s="1">
        <v>45519</v>
      </c>
      <c r="B322" t="s">
        <v>56</v>
      </c>
      <c r="C322" t="s">
        <v>40</v>
      </c>
      <c r="D322" t="s">
        <v>41</v>
      </c>
      <c r="E322">
        <v>160</v>
      </c>
      <c r="F322">
        <v>0</v>
      </c>
      <c r="G322">
        <f t="shared" si="11"/>
        <v>0</v>
      </c>
    </row>
    <row r="323" spans="1:7">
      <c r="A323" s="1">
        <v>45520</v>
      </c>
      <c r="B323" t="s">
        <v>56</v>
      </c>
      <c r="C323" t="s">
        <v>40</v>
      </c>
      <c r="D323" t="s">
        <v>41</v>
      </c>
      <c r="E323">
        <v>160</v>
      </c>
      <c r="F323">
        <v>3</v>
      </c>
      <c r="G323">
        <f t="shared" ref="G323:G386" si="13">F323*E323</f>
        <v>480</v>
      </c>
    </row>
    <row r="324" spans="1:7">
      <c r="A324" s="1">
        <v>45521</v>
      </c>
      <c r="B324" t="s">
        <v>56</v>
      </c>
      <c r="C324" t="s">
        <v>40</v>
      </c>
      <c r="D324" t="s">
        <v>41</v>
      </c>
      <c r="E324">
        <v>160</v>
      </c>
      <c r="F324">
        <v>0</v>
      </c>
      <c r="G324">
        <f t="shared" si="13"/>
        <v>0</v>
      </c>
    </row>
    <row r="325" spans="1:7">
      <c r="A325" s="1">
        <v>45522</v>
      </c>
      <c r="B325" t="s">
        <v>56</v>
      </c>
      <c r="C325" t="s">
        <v>40</v>
      </c>
      <c r="D325" t="s">
        <v>41</v>
      </c>
      <c r="E325">
        <v>160</v>
      </c>
      <c r="F325">
        <v>0</v>
      </c>
      <c r="G325">
        <f t="shared" si="13"/>
        <v>0</v>
      </c>
    </row>
    <row r="326" spans="1:7">
      <c r="A326" s="1">
        <v>45523</v>
      </c>
      <c r="B326" t="s">
        <v>56</v>
      </c>
      <c r="C326" t="s">
        <v>40</v>
      </c>
      <c r="D326" t="s">
        <v>41</v>
      </c>
      <c r="E326">
        <v>160</v>
      </c>
      <c r="F326">
        <v>5</v>
      </c>
      <c r="G326">
        <f t="shared" si="13"/>
        <v>800</v>
      </c>
    </row>
    <row r="327" spans="1:7">
      <c r="A327" s="1">
        <v>45524</v>
      </c>
      <c r="B327" t="s">
        <v>56</v>
      </c>
      <c r="C327" t="s">
        <v>40</v>
      </c>
      <c r="D327" t="s">
        <v>41</v>
      </c>
      <c r="E327">
        <v>160</v>
      </c>
      <c r="F327">
        <v>3</v>
      </c>
      <c r="G327">
        <f t="shared" si="13"/>
        <v>480</v>
      </c>
    </row>
    <row r="328" spans="1:7">
      <c r="A328" s="1">
        <v>45525</v>
      </c>
      <c r="B328" t="s">
        <v>56</v>
      </c>
      <c r="C328" t="s">
        <v>40</v>
      </c>
      <c r="D328" t="s">
        <v>41</v>
      </c>
      <c r="E328">
        <v>160</v>
      </c>
      <c r="F328">
        <v>2</v>
      </c>
      <c r="G328">
        <f t="shared" si="13"/>
        <v>320</v>
      </c>
    </row>
    <row r="329" spans="1:7">
      <c r="A329" s="1">
        <v>45526</v>
      </c>
      <c r="B329" t="s">
        <v>56</v>
      </c>
      <c r="C329" t="s">
        <v>40</v>
      </c>
      <c r="D329" t="s">
        <v>41</v>
      </c>
      <c r="E329">
        <v>160</v>
      </c>
      <c r="F329">
        <v>3</v>
      </c>
      <c r="G329">
        <f t="shared" si="13"/>
        <v>480</v>
      </c>
    </row>
    <row r="330" spans="1:7">
      <c r="A330" s="1">
        <v>45527</v>
      </c>
      <c r="B330" t="s">
        <v>56</v>
      </c>
      <c r="C330" t="s">
        <v>40</v>
      </c>
      <c r="D330" t="s">
        <v>41</v>
      </c>
      <c r="E330">
        <v>160</v>
      </c>
      <c r="F330">
        <v>4</v>
      </c>
      <c r="G330">
        <f t="shared" si="13"/>
        <v>640</v>
      </c>
    </row>
    <row r="331" spans="1:7">
      <c r="A331" s="1">
        <v>45528</v>
      </c>
      <c r="B331" t="s">
        <v>56</v>
      </c>
      <c r="C331" t="s">
        <v>40</v>
      </c>
      <c r="D331" t="s">
        <v>41</v>
      </c>
      <c r="E331">
        <v>160</v>
      </c>
      <c r="F331">
        <v>0</v>
      </c>
      <c r="G331">
        <f t="shared" si="13"/>
        <v>0</v>
      </c>
    </row>
    <row r="332" spans="1:7">
      <c r="A332" s="1">
        <v>45529</v>
      </c>
      <c r="B332" t="s">
        <v>56</v>
      </c>
      <c r="C332" t="s">
        <v>40</v>
      </c>
      <c r="D332" t="s">
        <v>41</v>
      </c>
      <c r="E332">
        <v>160</v>
      </c>
      <c r="F332">
        <v>0</v>
      </c>
      <c r="G332">
        <f t="shared" si="13"/>
        <v>0</v>
      </c>
    </row>
    <row r="333" spans="1:7">
      <c r="A333" s="1">
        <v>45530</v>
      </c>
      <c r="B333" t="s">
        <v>56</v>
      </c>
      <c r="C333" t="s">
        <v>40</v>
      </c>
      <c r="D333" t="s">
        <v>41</v>
      </c>
      <c r="E333">
        <v>160</v>
      </c>
      <c r="F333">
        <v>1</v>
      </c>
      <c r="G333">
        <f t="shared" si="13"/>
        <v>160</v>
      </c>
    </row>
    <row r="334" spans="1:7">
      <c r="A334" s="1">
        <v>45531</v>
      </c>
      <c r="B334" t="s">
        <v>56</v>
      </c>
      <c r="C334" t="s">
        <v>40</v>
      </c>
      <c r="D334" t="s">
        <v>41</v>
      </c>
      <c r="E334">
        <v>160</v>
      </c>
      <c r="F334">
        <v>5</v>
      </c>
      <c r="G334">
        <f t="shared" si="13"/>
        <v>800</v>
      </c>
    </row>
    <row r="335" spans="1:7">
      <c r="A335" s="1">
        <v>45532</v>
      </c>
      <c r="B335" t="s">
        <v>56</v>
      </c>
      <c r="C335" t="s">
        <v>40</v>
      </c>
      <c r="D335" t="s">
        <v>41</v>
      </c>
      <c r="E335">
        <v>160</v>
      </c>
      <c r="F335">
        <v>4</v>
      </c>
      <c r="G335">
        <f t="shared" si="13"/>
        <v>640</v>
      </c>
    </row>
    <row r="336" spans="1:7">
      <c r="A336" s="1">
        <v>45533</v>
      </c>
      <c r="B336" t="s">
        <v>56</v>
      </c>
      <c r="C336" t="s">
        <v>40</v>
      </c>
      <c r="D336" t="s">
        <v>41</v>
      </c>
      <c r="E336">
        <v>160</v>
      </c>
      <c r="F336">
        <v>6</v>
      </c>
      <c r="G336">
        <f t="shared" si="13"/>
        <v>960</v>
      </c>
    </row>
    <row r="337" spans="1:7">
      <c r="A337" s="1">
        <v>45534</v>
      </c>
      <c r="B337" t="s">
        <v>56</v>
      </c>
      <c r="C337" t="s">
        <v>40</v>
      </c>
      <c r="D337" t="s">
        <v>41</v>
      </c>
      <c r="E337">
        <v>160</v>
      </c>
      <c r="F337">
        <v>2</v>
      </c>
      <c r="G337">
        <f t="shared" si="13"/>
        <v>320</v>
      </c>
    </row>
    <row r="338" spans="1:7">
      <c r="A338" s="1">
        <v>45535</v>
      </c>
      <c r="B338" t="s">
        <v>56</v>
      </c>
      <c r="C338" t="s">
        <v>40</v>
      </c>
      <c r="D338" t="s">
        <v>41</v>
      </c>
      <c r="E338">
        <v>160</v>
      </c>
      <c r="F338">
        <v>0</v>
      </c>
      <c r="G338">
        <f t="shared" si="13"/>
        <v>0</v>
      </c>
    </row>
    <row r="339" spans="1:7">
      <c r="A339" s="1">
        <v>45505</v>
      </c>
      <c r="B339" t="s">
        <v>56</v>
      </c>
      <c r="C339" t="s">
        <v>40</v>
      </c>
      <c r="D339" t="s">
        <v>42</v>
      </c>
      <c r="E339">
        <v>160</v>
      </c>
      <c r="F339">
        <v>8</v>
      </c>
      <c r="G339">
        <f t="shared" si="13"/>
        <v>1280</v>
      </c>
    </row>
    <row r="340" spans="1:7">
      <c r="A340" s="1">
        <v>45506</v>
      </c>
      <c r="B340" t="s">
        <v>56</v>
      </c>
      <c r="C340" t="s">
        <v>40</v>
      </c>
      <c r="D340" t="s">
        <v>42</v>
      </c>
      <c r="E340">
        <v>160</v>
      </c>
      <c r="F340">
        <v>7</v>
      </c>
      <c r="G340">
        <f t="shared" si="13"/>
        <v>1120</v>
      </c>
    </row>
    <row r="341" spans="1:7">
      <c r="A341" s="1">
        <v>45507</v>
      </c>
      <c r="B341" t="s">
        <v>56</v>
      </c>
      <c r="C341" t="s">
        <v>40</v>
      </c>
      <c r="D341" t="s">
        <v>42</v>
      </c>
      <c r="E341">
        <v>160</v>
      </c>
      <c r="F341">
        <v>0</v>
      </c>
      <c r="G341">
        <f t="shared" si="13"/>
        <v>0</v>
      </c>
    </row>
    <row r="342" spans="1:7">
      <c r="A342" s="1">
        <v>45508</v>
      </c>
      <c r="B342" t="s">
        <v>56</v>
      </c>
      <c r="C342" t="s">
        <v>40</v>
      </c>
      <c r="D342" t="s">
        <v>42</v>
      </c>
      <c r="E342">
        <v>160</v>
      </c>
      <c r="F342">
        <v>0</v>
      </c>
      <c r="G342">
        <f t="shared" si="13"/>
        <v>0</v>
      </c>
    </row>
    <row r="343" spans="1:7">
      <c r="A343" s="1">
        <v>45509</v>
      </c>
      <c r="B343" t="s">
        <v>56</v>
      </c>
      <c r="C343" t="s">
        <v>40</v>
      </c>
      <c r="D343" t="s">
        <v>42</v>
      </c>
      <c r="E343">
        <v>160</v>
      </c>
      <c r="F343">
        <v>5</v>
      </c>
      <c r="G343">
        <f t="shared" si="13"/>
        <v>800</v>
      </c>
    </row>
    <row r="344" spans="1:7">
      <c r="A344" s="1">
        <v>45510</v>
      </c>
      <c r="B344" t="s">
        <v>56</v>
      </c>
      <c r="C344" t="s">
        <v>40</v>
      </c>
      <c r="D344" t="s">
        <v>42</v>
      </c>
      <c r="E344">
        <v>160</v>
      </c>
      <c r="F344">
        <v>5</v>
      </c>
      <c r="G344">
        <f t="shared" si="13"/>
        <v>800</v>
      </c>
    </row>
    <row r="345" spans="1:7">
      <c r="A345" s="1">
        <v>45511</v>
      </c>
      <c r="B345" t="s">
        <v>56</v>
      </c>
      <c r="C345" t="s">
        <v>40</v>
      </c>
      <c r="D345" t="s">
        <v>42</v>
      </c>
      <c r="E345">
        <v>160</v>
      </c>
      <c r="F345">
        <v>6</v>
      </c>
      <c r="G345">
        <f t="shared" si="13"/>
        <v>960</v>
      </c>
    </row>
    <row r="346" spans="1:7">
      <c r="A346" s="1">
        <v>45512</v>
      </c>
      <c r="B346" t="s">
        <v>56</v>
      </c>
      <c r="C346" t="s">
        <v>40</v>
      </c>
      <c r="D346" t="s">
        <v>42</v>
      </c>
      <c r="E346">
        <v>160</v>
      </c>
      <c r="F346">
        <v>5</v>
      </c>
      <c r="G346">
        <f t="shared" si="13"/>
        <v>800</v>
      </c>
    </row>
    <row r="347" spans="1:7">
      <c r="A347" s="1">
        <v>45513</v>
      </c>
      <c r="B347" t="s">
        <v>56</v>
      </c>
      <c r="C347" t="s">
        <v>40</v>
      </c>
      <c r="D347" t="s">
        <v>42</v>
      </c>
      <c r="E347">
        <v>160</v>
      </c>
      <c r="F347">
        <v>5</v>
      </c>
      <c r="G347">
        <f t="shared" si="13"/>
        <v>800</v>
      </c>
    </row>
    <row r="348" spans="1:7">
      <c r="A348" s="1">
        <v>45514</v>
      </c>
      <c r="B348" t="s">
        <v>56</v>
      </c>
      <c r="C348" t="s">
        <v>40</v>
      </c>
      <c r="D348" t="s">
        <v>42</v>
      </c>
      <c r="E348">
        <v>160</v>
      </c>
      <c r="F348">
        <v>0</v>
      </c>
      <c r="G348">
        <f t="shared" si="13"/>
        <v>0</v>
      </c>
    </row>
    <row r="349" spans="1:7">
      <c r="A349" s="1">
        <v>45515</v>
      </c>
      <c r="B349" t="s">
        <v>56</v>
      </c>
      <c r="C349" t="s">
        <v>40</v>
      </c>
      <c r="D349" t="s">
        <v>42</v>
      </c>
      <c r="E349">
        <v>160</v>
      </c>
      <c r="F349">
        <v>0</v>
      </c>
      <c r="G349">
        <f t="shared" si="13"/>
        <v>0</v>
      </c>
    </row>
    <row r="350" spans="1:7">
      <c r="A350" s="1">
        <v>45516</v>
      </c>
      <c r="B350" t="s">
        <v>56</v>
      </c>
      <c r="C350" t="s">
        <v>40</v>
      </c>
      <c r="D350" t="s">
        <v>42</v>
      </c>
      <c r="E350">
        <v>160</v>
      </c>
      <c r="F350">
        <v>9</v>
      </c>
      <c r="G350">
        <f t="shared" si="13"/>
        <v>1440</v>
      </c>
    </row>
    <row r="351" spans="1:7">
      <c r="A351" s="1">
        <v>45517</v>
      </c>
      <c r="B351" t="s">
        <v>56</v>
      </c>
      <c r="C351" t="s">
        <v>40</v>
      </c>
      <c r="D351" t="s">
        <v>42</v>
      </c>
      <c r="E351">
        <v>160</v>
      </c>
      <c r="F351">
        <v>4</v>
      </c>
      <c r="G351">
        <f t="shared" si="13"/>
        <v>640</v>
      </c>
    </row>
    <row r="352" spans="1:7">
      <c r="A352" s="1">
        <v>45518</v>
      </c>
      <c r="B352" t="s">
        <v>56</v>
      </c>
      <c r="C352" t="s">
        <v>40</v>
      </c>
      <c r="D352" t="s">
        <v>42</v>
      </c>
      <c r="E352">
        <v>160</v>
      </c>
      <c r="F352">
        <v>6</v>
      </c>
      <c r="G352">
        <f t="shared" si="13"/>
        <v>960</v>
      </c>
    </row>
    <row r="353" spans="1:7">
      <c r="A353" s="1">
        <v>45519</v>
      </c>
      <c r="B353" t="s">
        <v>56</v>
      </c>
      <c r="C353" t="s">
        <v>40</v>
      </c>
      <c r="D353" t="s">
        <v>42</v>
      </c>
      <c r="E353">
        <v>160</v>
      </c>
      <c r="F353">
        <v>0</v>
      </c>
      <c r="G353">
        <f t="shared" si="13"/>
        <v>0</v>
      </c>
    </row>
    <row r="354" spans="1:7">
      <c r="A354" s="1">
        <v>45520</v>
      </c>
      <c r="B354" t="s">
        <v>56</v>
      </c>
      <c r="C354" t="s">
        <v>40</v>
      </c>
      <c r="D354" t="s">
        <v>42</v>
      </c>
      <c r="E354">
        <v>160</v>
      </c>
      <c r="F354">
        <v>4</v>
      </c>
      <c r="G354">
        <f t="shared" si="13"/>
        <v>640</v>
      </c>
    </row>
    <row r="355" spans="1:7">
      <c r="A355" s="1">
        <v>45521</v>
      </c>
      <c r="B355" t="s">
        <v>56</v>
      </c>
      <c r="C355" t="s">
        <v>40</v>
      </c>
      <c r="D355" t="s">
        <v>42</v>
      </c>
      <c r="E355">
        <v>160</v>
      </c>
      <c r="F355">
        <v>0</v>
      </c>
      <c r="G355">
        <f t="shared" si="13"/>
        <v>0</v>
      </c>
    </row>
    <row r="356" spans="1:7">
      <c r="A356" s="1">
        <v>45522</v>
      </c>
      <c r="B356" t="s">
        <v>56</v>
      </c>
      <c r="C356" t="s">
        <v>40</v>
      </c>
      <c r="D356" t="s">
        <v>42</v>
      </c>
      <c r="E356">
        <v>160</v>
      </c>
      <c r="F356">
        <v>0</v>
      </c>
      <c r="G356">
        <f t="shared" si="13"/>
        <v>0</v>
      </c>
    </row>
    <row r="357" spans="1:7">
      <c r="A357" s="1">
        <v>45523</v>
      </c>
      <c r="B357" t="s">
        <v>56</v>
      </c>
      <c r="C357" t="s">
        <v>40</v>
      </c>
      <c r="D357" t="s">
        <v>42</v>
      </c>
      <c r="E357">
        <v>160</v>
      </c>
      <c r="F357">
        <v>7</v>
      </c>
      <c r="G357">
        <f t="shared" si="13"/>
        <v>1120</v>
      </c>
    </row>
    <row r="358" spans="1:7">
      <c r="A358" s="1">
        <v>45524</v>
      </c>
      <c r="B358" t="s">
        <v>56</v>
      </c>
      <c r="C358" t="s">
        <v>40</v>
      </c>
      <c r="D358" t="s">
        <v>42</v>
      </c>
      <c r="E358">
        <v>160</v>
      </c>
      <c r="F358">
        <v>7</v>
      </c>
      <c r="G358">
        <f t="shared" si="13"/>
        <v>1120</v>
      </c>
    </row>
    <row r="359" spans="1:7">
      <c r="A359" s="1">
        <v>45525</v>
      </c>
      <c r="B359" t="s">
        <v>56</v>
      </c>
      <c r="C359" t="s">
        <v>40</v>
      </c>
      <c r="D359" t="s">
        <v>42</v>
      </c>
      <c r="E359">
        <v>160</v>
      </c>
      <c r="F359">
        <v>6</v>
      </c>
      <c r="G359">
        <f t="shared" si="13"/>
        <v>960</v>
      </c>
    </row>
    <row r="360" spans="1:7">
      <c r="A360" s="1">
        <v>45526</v>
      </c>
      <c r="B360" t="s">
        <v>56</v>
      </c>
      <c r="C360" t="s">
        <v>40</v>
      </c>
      <c r="D360" t="s">
        <v>42</v>
      </c>
      <c r="E360">
        <v>160</v>
      </c>
      <c r="F360">
        <v>6</v>
      </c>
      <c r="G360">
        <f t="shared" si="13"/>
        <v>960</v>
      </c>
    </row>
    <row r="361" spans="1:7">
      <c r="A361" s="1">
        <v>45527</v>
      </c>
      <c r="B361" t="s">
        <v>56</v>
      </c>
      <c r="C361" t="s">
        <v>40</v>
      </c>
      <c r="D361" t="s">
        <v>42</v>
      </c>
      <c r="E361">
        <v>160</v>
      </c>
      <c r="F361">
        <v>5</v>
      </c>
      <c r="G361">
        <f t="shared" si="13"/>
        <v>800</v>
      </c>
    </row>
    <row r="362" spans="1:7">
      <c r="A362" s="1">
        <v>45528</v>
      </c>
      <c r="B362" t="s">
        <v>56</v>
      </c>
      <c r="C362" t="s">
        <v>40</v>
      </c>
      <c r="D362" t="s">
        <v>42</v>
      </c>
      <c r="E362">
        <v>160</v>
      </c>
      <c r="F362">
        <v>0</v>
      </c>
      <c r="G362">
        <f t="shared" si="13"/>
        <v>0</v>
      </c>
    </row>
    <row r="363" spans="1:7">
      <c r="A363" s="1">
        <v>45529</v>
      </c>
      <c r="B363" t="s">
        <v>56</v>
      </c>
      <c r="C363" t="s">
        <v>40</v>
      </c>
      <c r="D363" t="s">
        <v>42</v>
      </c>
      <c r="E363">
        <v>160</v>
      </c>
      <c r="F363">
        <v>0</v>
      </c>
      <c r="G363">
        <f t="shared" si="13"/>
        <v>0</v>
      </c>
    </row>
    <row r="364" spans="1:7">
      <c r="A364" s="1">
        <v>45530</v>
      </c>
      <c r="B364" t="s">
        <v>56</v>
      </c>
      <c r="C364" t="s">
        <v>40</v>
      </c>
      <c r="D364" t="s">
        <v>42</v>
      </c>
      <c r="E364">
        <v>160</v>
      </c>
      <c r="F364">
        <v>5</v>
      </c>
      <c r="G364">
        <f t="shared" si="13"/>
        <v>800</v>
      </c>
    </row>
    <row r="365" spans="1:7">
      <c r="A365" s="1">
        <v>45531</v>
      </c>
      <c r="B365" t="s">
        <v>56</v>
      </c>
      <c r="C365" t="s">
        <v>40</v>
      </c>
      <c r="D365" t="s">
        <v>42</v>
      </c>
      <c r="E365">
        <v>160</v>
      </c>
      <c r="F365">
        <v>7</v>
      </c>
      <c r="G365">
        <f t="shared" si="13"/>
        <v>1120</v>
      </c>
    </row>
    <row r="366" spans="1:7">
      <c r="A366" s="1">
        <v>45532</v>
      </c>
      <c r="B366" t="s">
        <v>56</v>
      </c>
      <c r="C366" t="s">
        <v>40</v>
      </c>
      <c r="D366" t="s">
        <v>42</v>
      </c>
      <c r="E366">
        <v>160</v>
      </c>
      <c r="F366">
        <v>6</v>
      </c>
      <c r="G366">
        <f t="shared" si="13"/>
        <v>960</v>
      </c>
    </row>
    <row r="367" spans="1:7">
      <c r="A367" s="1">
        <v>45533</v>
      </c>
      <c r="B367" t="s">
        <v>56</v>
      </c>
      <c r="C367" t="s">
        <v>40</v>
      </c>
      <c r="D367" t="s">
        <v>42</v>
      </c>
      <c r="E367">
        <v>160</v>
      </c>
      <c r="F367">
        <v>8</v>
      </c>
      <c r="G367">
        <f t="shared" si="13"/>
        <v>1280</v>
      </c>
    </row>
    <row r="368" spans="1:7">
      <c r="A368" s="1">
        <v>45534</v>
      </c>
      <c r="B368" t="s">
        <v>56</v>
      </c>
      <c r="C368" t="s">
        <v>40</v>
      </c>
      <c r="D368" t="s">
        <v>42</v>
      </c>
      <c r="E368">
        <v>160</v>
      </c>
      <c r="F368">
        <v>6</v>
      </c>
      <c r="G368">
        <f t="shared" si="13"/>
        <v>960</v>
      </c>
    </row>
    <row r="369" spans="1:7">
      <c r="A369" s="1">
        <v>45535</v>
      </c>
      <c r="B369" t="s">
        <v>56</v>
      </c>
      <c r="C369" t="s">
        <v>40</v>
      </c>
      <c r="D369" t="s">
        <v>42</v>
      </c>
      <c r="E369">
        <v>160</v>
      </c>
      <c r="F369">
        <v>0</v>
      </c>
      <c r="G369">
        <f t="shared" si="13"/>
        <v>0</v>
      </c>
    </row>
    <row r="370" spans="1:7">
      <c r="A370" s="1">
        <v>45505</v>
      </c>
      <c r="B370" t="s">
        <v>55</v>
      </c>
      <c r="C370" t="s">
        <v>15</v>
      </c>
      <c r="D370" t="s">
        <v>6</v>
      </c>
      <c r="E370">
        <v>650</v>
      </c>
      <c r="G370">
        <f t="shared" si="13"/>
        <v>0</v>
      </c>
    </row>
    <row r="371" spans="1:7">
      <c r="A371" s="1">
        <f>A370+1</f>
        <v>45506</v>
      </c>
      <c r="B371" t="s">
        <v>55</v>
      </c>
      <c r="C371" t="s">
        <v>15</v>
      </c>
      <c r="D371" t="s">
        <v>6</v>
      </c>
      <c r="E371">
        <v>650</v>
      </c>
      <c r="G371">
        <f t="shared" si="13"/>
        <v>0</v>
      </c>
    </row>
    <row r="372" spans="1:7">
      <c r="A372" s="1">
        <f t="shared" ref="A372:A400" si="14">A371+1</f>
        <v>45507</v>
      </c>
      <c r="B372" t="s">
        <v>55</v>
      </c>
      <c r="C372" t="s">
        <v>15</v>
      </c>
      <c r="D372" t="s">
        <v>6</v>
      </c>
      <c r="E372">
        <v>650</v>
      </c>
      <c r="G372">
        <f t="shared" si="13"/>
        <v>0</v>
      </c>
    </row>
    <row r="373" spans="1:7">
      <c r="A373" s="1">
        <f t="shared" si="14"/>
        <v>45508</v>
      </c>
      <c r="B373" t="s">
        <v>55</v>
      </c>
      <c r="C373" t="s">
        <v>15</v>
      </c>
      <c r="D373" t="s">
        <v>6</v>
      </c>
      <c r="E373">
        <v>650</v>
      </c>
      <c r="G373">
        <f t="shared" si="13"/>
        <v>0</v>
      </c>
    </row>
    <row r="374" spans="1:7">
      <c r="A374" s="1">
        <f t="shared" si="14"/>
        <v>45509</v>
      </c>
      <c r="B374" t="s">
        <v>55</v>
      </c>
      <c r="C374" t="s">
        <v>15</v>
      </c>
      <c r="D374" t="s">
        <v>6</v>
      </c>
      <c r="E374">
        <v>650</v>
      </c>
      <c r="G374">
        <f t="shared" si="13"/>
        <v>0</v>
      </c>
    </row>
    <row r="375" spans="1:7">
      <c r="A375" s="1">
        <f t="shared" si="14"/>
        <v>45510</v>
      </c>
      <c r="B375" t="s">
        <v>55</v>
      </c>
      <c r="C375" t="s">
        <v>15</v>
      </c>
      <c r="D375" t="s">
        <v>6</v>
      </c>
      <c r="E375">
        <v>650</v>
      </c>
      <c r="G375">
        <f t="shared" si="13"/>
        <v>0</v>
      </c>
    </row>
    <row r="376" spans="1:7">
      <c r="A376" s="1">
        <f t="shared" si="14"/>
        <v>45511</v>
      </c>
      <c r="B376" t="s">
        <v>55</v>
      </c>
      <c r="C376" t="s">
        <v>15</v>
      </c>
      <c r="D376" t="s">
        <v>6</v>
      </c>
      <c r="E376">
        <v>650</v>
      </c>
      <c r="G376">
        <f t="shared" si="13"/>
        <v>0</v>
      </c>
    </row>
    <row r="377" spans="1:7">
      <c r="A377" s="1">
        <f t="shared" si="14"/>
        <v>45512</v>
      </c>
      <c r="B377" t="s">
        <v>55</v>
      </c>
      <c r="C377" t="s">
        <v>15</v>
      </c>
      <c r="D377" t="s">
        <v>6</v>
      </c>
      <c r="E377">
        <v>650</v>
      </c>
      <c r="G377">
        <f t="shared" si="13"/>
        <v>0</v>
      </c>
    </row>
    <row r="378" spans="1:7">
      <c r="A378" s="1">
        <f t="shared" si="14"/>
        <v>45513</v>
      </c>
      <c r="B378" t="s">
        <v>55</v>
      </c>
      <c r="C378" t="s">
        <v>15</v>
      </c>
      <c r="D378" t="s">
        <v>6</v>
      </c>
      <c r="E378">
        <v>650</v>
      </c>
      <c r="G378">
        <f t="shared" si="13"/>
        <v>0</v>
      </c>
    </row>
    <row r="379" spans="1:7">
      <c r="A379" s="1">
        <f t="shared" si="14"/>
        <v>45514</v>
      </c>
      <c r="B379" t="s">
        <v>55</v>
      </c>
      <c r="C379" t="s">
        <v>15</v>
      </c>
      <c r="D379" t="s">
        <v>6</v>
      </c>
      <c r="E379">
        <v>650</v>
      </c>
      <c r="G379">
        <f t="shared" si="13"/>
        <v>0</v>
      </c>
    </row>
    <row r="380" spans="1:7">
      <c r="A380" s="1">
        <f t="shared" si="14"/>
        <v>45515</v>
      </c>
      <c r="B380" t="s">
        <v>55</v>
      </c>
      <c r="C380" t="s">
        <v>15</v>
      </c>
      <c r="D380" t="s">
        <v>6</v>
      </c>
      <c r="E380">
        <v>650</v>
      </c>
      <c r="G380">
        <f t="shared" si="13"/>
        <v>0</v>
      </c>
    </row>
    <row r="381" spans="1:7">
      <c r="A381" s="1">
        <f t="shared" si="14"/>
        <v>45516</v>
      </c>
      <c r="B381" t="s">
        <v>55</v>
      </c>
      <c r="C381" t="s">
        <v>15</v>
      </c>
      <c r="D381" t="s">
        <v>6</v>
      </c>
      <c r="E381">
        <v>650</v>
      </c>
      <c r="G381">
        <f t="shared" si="13"/>
        <v>0</v>
      </c>
    </row>
    <row r="382" spans="1:7">
      <c r="A382" s="1">
        <f t="shared" si="14"/>
        <v>45517</v>
      </c>
      <c r="B382" t="s">
        <v>55</v>
      </c>
      <c r="C382" t="s">
        <v>15</v>
      </c>
      <c r="D382" t="s">
        <v>6</v>
      </c>
      <c r="E382">
        <v>650</v>
      </c>
      <c r="G382">
        <f t="shared" si="13"/>
        <v>0</v>
      </c>
    </row>
    <row r="383" spans="1:7">
      <c r="A383" s="1">
        <f t="shared" si="14"/>
        <v>45518</v>
      </c>
      <c r="B383" t="s">
        <v>55</v>
      </c>
      <c r="C383" t="s">
        <v>15</v>
      </c>
      <c r="D383" t="s">
        <v>6</v>
      </c>
      <c r="E383">
        <v>650</v>
      </c>
      <c r="G383">
        <f t="shared" si="13"/>
        <v>0</v>
      </c>
    </row>
    <row r="384" spans="1:7">
      <c r="A384" s="1">
        <f t="shared" si="14"/>
        <v>45519</v>
      </c>
      <c r="B384" t="s">
        <v>55</v>
      </c>
      <c r="C384" t="s">
        <v>15</v>
      </c>
      <c r="D384" t="s">
        <v>6</v>
      </c>
      <c r="E384">
        <v>650</v>
      </c>
      <c r="G384">
        <f t="shared" si="13"/>
        <v>0</v>
      </c>
    </row>
    <row r="385" spans="1:7">
      <c r="A385" s="1">
        <f t="shared" si="14"/>
        <v>45520</v>
      </c>
      <c r="B385" t="s">
        <v>55</v>
      </c>
      <c r="C385" t="s">
        <v>15</v>
      </c>
      <c r="D385" t="s">
        <v>6</v>
      </c>
      <c r="E385">
        <v>650</v>
      </c>
      <c r="G385">
        <f t="shared" si="13"/>
        <v>0</v>
      </c>
    </row>
    <row r="386" spans="1:7">
      <c r="A386" s="1">
        <f t="shared" si="14"/>
        <v>45521</v>
      </c>
      <c r="B386" t="s">
        <v>55</v>
      </c>
      <c r="C386" t="s">
        <v>15</v>
      </c>
      <c r="D386" t="s">
        <v>6</v>
      </c>
      <c r="E386">
        <v>650</v>
      </c>
      <c r="G386">
        <f t="shared" si="13"/>
        <v>0</v>
      </c>
    </row>
    <row r="387" spans="1:7">
      <c r="A387" s="1">
        <f t="shared" si="14"/>
        <v>45522</v>
      </c>
      <c r="B387" t="s">
        <v>55</v>
      </c>
      <c r="C387" t="s">
        <v>15</v>
      </c>
      <c r="D387" t="s">
        <v>6</v>
      </c>
      <c r="E387">
        <v>650</v>
      </c>
      <c r="G387">
        <f t="shared" ref="G387:G450" si="15">F387*E387</f>
        <v>0</v>
      </c>
    </row>
    <row r="388" spans="1:7">
      <c r="A388" s="1">
        <f t="shared" si="14"/>
        <v>45523</v>
      </c>
      <c r="B388" t="s">
        <v>55</v>
      </c>
      <c r="C388" t="s">
        <v>15</v>
      </c>
      <c r="D388" t="s">
        <v>6</v>
      </c>
      <c r="E388">
        <v>650</v>
      </c>
      <c r="G388">
        <f t="shared" si="15"/>
        <v>0</v>
      </c>
    </row>
    <row r="389" spans="1:7">
      <c r="A389" s="1">
        <f t="shared" si="14"/>
        <v>45524</v>
      </c>
      <c r="B389" t="s">
        <v>55</v>
      </c>
      <c r="C389" t="s">
        <v>15</v>
      </c>
      <c r="D389" t="s">
        <v>6</v>
      </c>
      <c r="E389">
        <v>650</v>
      </c>
      <c r="G389">
        <f t="shared" si="15"/>
        <v>0</v>
      </c>
    </row>
    <row r="390" spans="1:7">
      <c r="A390" s="1">
        <f t="shared" si="14"/>
        <v>45525</v>
      </c>
      <c r="B390" t="s">
        <v>55</v>
      </c>
      <c r="C390" t="s">
        <v>15</v>
      </c>
      <c r="D390" t="s">
        <v>6</v>
      </c>
      <c r="E390">
        <v>650</v>
      </c>
      <c r="G390">
        <f t="shared" si="15"/>
        <v>0</v>
      </c>
    </row>
    <row r="391" spans="1:7">
      <c r="A391" s="1">
        <f t="shared" si="14"/>
        <v>45526</v>
      </c>
      <c r="B391" t="s">
        <v>55</v>
      </c>
      <c r="C391" t="s">
        <v>15</v>
      </c>
      <c r="D391" t="s">
        <v>6</v>
      </c>
      <c r="E391">
        <v>650</v>
      </c>
      <c r="G391">
        <f t="shared" si="15"/>
        <v>0</v>
      </c>
    </row>
    <row r="392" spans="1:7">
      <c r="A392" s="1">
        <f t="shared" si="14"/>
        <v>45527</v>
      </c>
      <c r="B392" t="s">
        <v>55</v>
      </c>
      <c r="C392" t="s">
        <v>15</v>
      </c>
      <c r="D392" t="s">
        <v>6</v>
      </c>
      <c r="E392">
        <v>650</v>
      </c>
      <c r="G392">
        <f t="shared" si="15"/>
        <v>0</v>
      </c>
    </row>
    <row r="393" spans="1:7">
      <c r="A393" s="1">
        <f t="shared" si="14"/>
        <v>45528</v>
      </c>
      <c r="B393" t="s">
        <v>55</v>
      </c>
      <c r="C393" t="s">
        <v>15</v>
      </c>
      <c r="D393" t="s">
        <v>6</v>
      </c>
      <c r="E393">
        <v>650</v>
      </c>
      <c r="G393">
        <f t="shared" si="15"/>
        <v>0</v>
      </c>
    </row>
    <row r="394" spans="1:7">
      <c r="A394" s="1">
        <f t="shared" si="14"/>
        <v>45529</v>
      </c>
      <c r="B394" t="s">
        <v>55</v>
      </c>
      <c r="C394" t="s">
        <v>15</v>
      </c>
      <c r="D394" t="s">
        <v>6</v>
      </c>
      <c r="E394">
        <v>650</v>
      </c>
      <c r="G394">
        <f t="shared" si="15"/>
        <v>0</v>
      </c>
    </row>
    <row r="395" spans="1:7">
      <c r="A395" s="1">
        <f t="shared" si="14"/>
        <v>45530</v>
      </c>
      <c r="B395" t="s">
        <v>55</v>
      </c>
      <c r="C395" t="s">
        <v>15</v>
      </c>
      <c r="D395" t="s">
        <v>6</v>
      </c>
      <c r="E395">
        <v>650</v>
      </c>
      <c r="G395">
        <f t="shared" si="15"/>
        <v>0</v>
      </c>
    </row>
    <row r="396" spans="1:7">
      <c r="A396" s="1">
        <f t="shared" si="14"/>
        <v>45531</v>
      </c>
      <c r="B396" t="s">
        <v>55</v>
      </c>
      <c r="C396" t="s">
        <v>15</v>
      </c>
      <c r="D396" t="s">
        <v>6</v>
      </c>
      <c r="E396">
        <v>650</v>
      </c>
      <c r="G396">
        <f t="shared" si="15"/>
        <v>0</v>
      </c>
    </row>
    <row r="397" spans="1:7">
      <c r="A397" s="1">
        <f t="shared" si="14"/>
        <v>45532</v>
      </c>
      <c r="B397" t="s">
        <v>55</v>
      </c>
      <c r="C397" t="s">
        <v>15</v>
      </c>
      <c r="D397" t="s">
        <v>6</v>
      </c>
      <c r="E397">
        <v>650</v>
      </c>
      <c r="G397">
        <f t="shared" si="15"/>
        <v>0</v>
      </c>
    </row>
    <row r="398" spans="1:7">
      <c r="A398" s="1">
        <f t="shared" si="14"/>
        <v>45533</v>
      </c>
      <c r="B398" t="s">
        <v>55</v>
      </c>
      <c r="C398" t="s">
        <v>15</v>
      </c>
      <c r="D398" t="s">
        <v>6</v>
      </c>
      <c r="E398">
        <v>650</v>
      </c>
      <c r="G398">
        <f t="shared" si="15"/>
        <v>0</v>
      </c>
    </row>
    <row r="399" spans="1:7">
      <c r="A399" s="1">
        <f t="shared" si="14"/>
        <v>45534</v>
      </c>
      <c r="B399" t="s">
        <v>55</v>
      </c>
      <c r="C399" t="s">
        <v>15</v>
      </c>
      <c r="D399" t="s">
        <v>6</v>
      </c>
      <c r="E399">
        <v>650</v>
      </c>
      <c r="G399">
        <f t="shared" si="15"/>
        <v>0</v>
      </c>
    </row>
    <row r="400" spans="1:7">
      <c r="A400" s="1">
        <f t="shared" si="14"/>
        <v>45535</v>
      </c>
      <c r="B400" t="s">
        <v>55</v>
      </c>
      <c r="C400" t="s">
        <v>15</v>
      </c>
      <c r="D400" t="s">
        <v>6</v>
      </c>
      <c r="E400">
        <v>650</v>
      </c>
      <c r="G400">
        <f t="shared" si="15"/>
        <v>0</v>
      </c>
    </row>
    <row r="401" spans="1:7">
      <c r="A401" s="1">
        <v>45505</v>
      </c>
      <c r="B401" t="s">
        <v>55</v>
      </c>
      <c r="C401" t="s">
        <v>15</v>
      </c>
      <c r="D401" t="s">
        <v>7</v>
      </c>
      <c r="E401">
        <v>110</v>
      </c>
      <c r="F401" s="55">
        <v>1</v>
      </c>
      <c r="G401">
        <f t="shared" si="15"/>
        <v>110</v>
      </c>
    </row>
    <row r="402" spans="1:7">
      <c r="A402" s="1">
        <f>A401+1</f>
        <v>45506</v>
      </c>
      <c r="B402" t="s">
        <v>55</v>
      </c>
      <c r="C402" t="s">
        <v>15</v>
      </c>
      <c r="D402" t="s">
        <v>7</v>
      </c>
      <c r="E402">
        <v>110</v>
      </c>
      <c r="F402" s="55">
        <v>0</v>
      </c>
      <c r="G402">
        <f t="shared" si="15"/>
        <v>0</v>
      </c>
    </row>
    <row r="403" spans="1:7">
      <c r="A403" s="1">
        <f t="shared" ref="A403:A431" si="16">A402+1</f>
        <v>45507</v>
      </c>
      <c r="B403" t="s">
        <v>55</v>
      </c>
      <c r="C403" t="s">
        <v>15</v>
      </c>
      <c r="D403" t="s">
        <v>7</v>
      </c>
      <c r="E403">
        <v>110</v>
      </c>
      <c r="F403" s="55">
        <v>0</v>
      </c>
      <c r="G403">
        <f t="shared" si="15"/>
        <v>0</v>
      </c>
    </row>
    <row r="404" spans="1:7">
      <c r="A404" s="1">
        <f t="shared" si="16"/>
        <v>45508</v>
      </c>
      <c r="B404" t="s">
        <v>55</v>
      </c>
      <c r="C404" t="s">
        <v>15</v>
      </c>
      <c r="D404" t="s">
        <v>7</v>
      </c>
      <c r="E404">
        <v>110</v>
      </c>
      <c r="F404" s="55">
        <v>0</v>
      </c>
      <c r="G404">
        <f t="shared" si="15"/>
        <v>0</v>
      </c>
    </row>
    <row r="405" spans="1:7">
      <c r="A405" s="1">
        <f t="shared" si="16"/>
        <v>45509</v>
      </c>
      <c r="B405" t="s">
        <v>55</v>
      </c>
      <c r="C405" t="s">
        <v>15</v>
      </c>
      <c r="D405" t="s">
        <v>7</v>
      </c>
      <c r="E405">
        <v>110</v>
      </c>
      <c r="F405" s="55">
        <v>1</v>
      </c>
      <c r="G405">
        <f t="shared" si="15"/>
        <v>110</v>
      </c>
    </row>
    <row r="406" spans="1:7">
      <c r="A406" s="1">
        <f t="shared" si="16"/>
        <v>45510</v>
      </c>
      <c r="B406" t="s">
        <v>55</v>
      </c>
      <c r="C406" t="s">
        <v>15</v>
      </c>
      <c r="D406" t="s">
        <v>7</v>
      </c>
      <c r="E406">
        <v>110</v>
      </c>
      <c r="F406" s="55">
        <v>1</v>
      </c>
      <c r="G406">
        <f t="shared" si="15"/>
        <v>110</v>
      </c>
    </row>
    <row r="407" spans="1:7">
      <c r="A407" s="1">
        <f t="shared" si="16"/>
        <v>45511</v>
      </c>
      <c r="B407" t="s">
        <v>55</v>
      </c>
      <c r="C407" t="s">
        <v>15</v>
      </c>
      <c r="D407" t="s">
        <v>7</v>
      </c>
      <c r="E407">
        <v>110</v>
      </c>
      <c r="F407" s="55">
        <v>1</v>
      </c>
      <c r="G407">
        <f t="shared" si="15"/>
        <v>110</v>
      </c>
    </row>
    <row r="408" spans="1:7">
      <c r="A408" s="1">
        <f t="shared" si="16"/>
        <v>45512</v>
      </c>
      <c r="B408" t="s">
        <v>55</v>
      </c>
      <c r="C408" t="s">
        <v>15</v>
      </c>
      <c r="D408" t="s">
        <v>7</v>
      </c>
      <c r="E408">
        <v>110</v>
      </c>
      <c r="F408" s="55">
        <v>0</v>
      </c>
      <c r="G408">
        <f t="shared" si="15"/>
        <v>0</v>
      </c>
    </row>
    <row r="409" spans="1:7">
      <c r="A409" s="1">
        <f t="shared" si="16"/>
        <v>45513</v>
      </c>
      <c r="B409" t="s">
        <v>55</v>
      </c>
      <c r="C409" t="s">
        <v>15</v>
      </c>
      <c r="D409" t="s">
        <v>7</v>
      </c>
      <c r="E409">
        <v>110</v>
      </c>
      <c r="F409" s="55">
        <v>1</v>
      </c>
      <c r="G409">
        <f t="shared" si="15"/>
        <v>110</v>
      </c>
    </row>
    <row r="410" spans="1:7">
      <c r="A410" s="1">
        <f t="shared" si="16"/>
        <v>45514</v>
      </c>
      <c r="B410" t="s">
        <v>55</v>
      </c>
      <c r="C410" t="s">
        <v>15</v>
      </c>
      <c r="D410" t="s">
        <v>7</v>
      </c>
      <c r="E410">
        <v>110</v>
      </c>
      <c r="F410" s="55">
        <v>0</v>
      </c>
      <c r="G410">
        <f t="shared" si="15"/>
        <v>0</v>
      </c>
    </row>
    <row r="411" spans="1:7">
      <c r="A411" s="1">
        <f t="shared" si="16"/>
        <v>45515</v>
      </c>
      <c r="B411" t="s">
        <v>55</v>
      </c>
      <c r="C411" t="s">
        <v>15</v>
      </c>
      <c r="D411" t="s">
        <v>7</v>
      </c>
      <c r="E411">
        <v>110</v>
      </c>
      <c r="F411" s="55">
        <v>0</v>
      </c>
      <c r="G411">
        <f t="shared" si="15"/>
        <v>0</v>
      </c>
    </row>
    <row r="412" spans="1:7">
      <c r="A412" s="1">
        <f t="shared" si="16"/>
        <v>45516</v>
      </c>
      <c r="B412" t="s">
        <v>55</v>
      </c>
      <c r="C412" t="s">
        <v>15</v>
      </c>
      <c r="D412" t="s">
        <v>7</v>
      </c>
      <c r="E412">
        <v>110</v>
      </c>
      <c r="F412" s="55">
        <v>1</v>
      </c>
      <c r="G412">
        <f t="shared" si="15"/>
        <v>110</v>
      </c>
    </row>
    <row r="413" spans="1:7">
      <c r="A413" s="1">
        <f t="shared" si="16"/>
        <v>45517</v>
      </c>
      <c r="B413" t="s">
        <v>55</v>
      </c>
      <c r="C413" t="s">
        <v>15</v>
      </c>
      <c r="D413" t="s">
        <v>7</v>
      </c>
      <c r="E413">
        <v>110</v>
      </c>
      <c r="F413" s="55">
        <v>0</v>
      </c>
      <c r="G413">
        <f t="shared" si="15"/>
        <v>0</v>
      </c>
    </row>
    <row r="414" spans="1:7">
      <c r="A414" s="1">
        <f t="shared" si="16"/>
        <v>45518</v>
      </c>
      <c r="B414" t="s">
        <v>55</v>
      </c>
      <c r="C414" t="s">
        <v>15</v>
      </c>
      <c r="D414" t="s">
        <v>7</v>
      </c>
      <c r="E414">
        <v>110</v>
      </c>
      <c r="F414" s="55">
        <v>0</v>
      </c>
      <c r="G414">
        <f t="shared" si="15"/>
        <v>0</v>
      </c>
    </row>
    <row r="415" spans="1:7">
      <c r="A415" s="1">
        <f t="shared" si="16"/>
        <v>45519</v>
      </c>
      <c r="B415" t="s">
        <v>55</v>
      </c>
      <c r="C415" t="s">
        <v>15</v>
      </c>
      <c r="D415" t="s">
        <v>7</v>
      </c>
      <c r="E415">
        <v>110</v>
      </c>
      <c r="F415" s="55">
        <v>0</v>
      </c>
      <c r="G415">
        <f t="shared" si="15"/>
        <v>0</v>
      </c>
    </row>
    <row r="416" spans="1:7">
      <c r="A416" s="1">
        <f t="shared" si="16"/>
        <v>45520</v>
      </c>
      <c r="B416" t="s">
        <v>55</v>
      </c>
      <c r="C416" t="s">
        <v>15</v>
      </c>
      <c r="D416" t="s">
        <v>7</v>
      </c>
      <c r="E416">
        <v>110</v>
      </c>
      <c r="F416" s="55">
        <v>1</v>
      </c>
      <c r="G416">
        <f t="shared" si="15"/>
        <v>110</v>
      </c>
    </row>
    <row r="417" spans="1:7">
      <c r="A417" s="1">
        <f t="shared" si="16"/>
        <v>45521</v>
      </c>
      <c r="B417" t="s">
        <v>55</v>
      </c>
      <c r="C417" t="s">
        <v>15</v>
      </c>
      <c r="D417" t="s">
        <v>7</v>
      </c>
      <c r="E417">
        <v>110</v>
      </c>
      <c r="F417" s="55">
        <v>0</v>
      </c>
      <c r="G417">
        <f t="shared" si="15"/>
        <v>0</v>
      </c>
    </row>
    <row r="418" spans="1:7">
      <c r="A418" s="1">
        <f t="shared" si="16"/>
        <v>45522</v>
      </c>
      <c r="B418" t="s">
        <v>55</v>
      </c>
      <c r="C418" t="s">
        <v>15</v>
      </c>
      <c r="D418" t="s">
        <v>7</v>
      </c>
      <c r="E418">
        <v>110</v>
      </c>
      <c r="F418" s="55">
        <v>0</v>
      </c>
      <c r="G418">
        <f t="shared" si="15"/>
        <v>0</v>
      </c>
    </row>
    <row r="419" spans="1:7">
      <c r="A419" s="1">
        <f t="shared" si="16"/>
        <v>45523</v>
      </c>
      <c r="B419" t="s">
        <v>55</v>
      </c>
      <c r="C419" t="s">
        <v>15</v>
      </c>
      <c r="D419" t="s">
        <v>7</v>
      </c>
      <c r="E419">
        <v>110</v>
      </c>
      <c r="F419" s="55">
        <v>0</v>
      </c>
      <c r="G419">
        <f t="shared" si="15"/>
        <v>0</v>
      </c>
    </row>
    <row r="420" spans="1:7">
      <c r="A420" s="1">
        <f t="shared" si="16"/>
        <v>45524</v>
      </c>
      <c r="B420" t="s">
        <v>55</v>
      </c>
      <c r="C420" t="s">
        <v>15</v>
      </c>
      <c r="D420" t="s">
        <v>7</v>
      </c>
      <c r="E420">
        <v>110</v>
      </c>
      <c r="F420" s="55">
        <v>0</v>
      </c>
      <c r="G420">
        <f t="shared" si="15"/>
        <v>0</v>
      </c>
    </row>
    <row r="421" spans="1:7">
      <c r="A421" s="1">
        <f t="shared" si="16"/>
        <v>45525</v>
      </c>
      <c r="B421" t="s">
        <v>55</v>
      </c>
      <c r="C421" t="s">
        <v>15</v>
      </c>
      <c r="D421" t="s">
        <v>7</v>
      </c>
      <c r="E421">
        <v>110</v>
      </c>
      <c r="F421" s="55">
        <v>1</v>
      </c>
      <c r="G421">
        <f t="shared" si="15"/>
        <v>110</v>
      </c>
    </row>
    <row r="422" spans="1:7">
      <c r="A422" s="1">
        <f t="shared" si="16"/>
        <v>45526</v>
      </c>
      <c r="B422" t="s">
        <v>55</v>
      </c>
      <c r="C422" t="s">
        <v>15</v>
      </c>
      <c r="D422" t="s">
        <v>7</v>
      </c>
      <c r="E422">
        <v>110</v>
      </c>
      <c r="F422" s="55">
        <v>1</v>
      </c>
      <c r="G422">
        <f t="shared" si="15"/>
        <v>110</v>
      </c>
    </row>
    <row r="423" spans="1:7">
      <c r="A423" s="1">
        <f t="shared" si="16"/>
        <v>45527</v>
      </c>
      <c r="B423" t="s">
        <v>55</v>
      </c>
      <c r="C423" t="s">
        <v>15</v>
      </c>
      <c r="D423" t="s">
        <v>7</v>
      </c>
      <c r="E423">
        <v>110</v>
      </c>
      <c r="F423" s="55">
        <v>0</v>
      </c>
      <c r="G423">
        <f t="shared" si="15"/>
        <v>0</v>
      </c>
    </row>
    <row r="424" spans="1:7">
      <c r="A424" s="1">
        <f t="shared" si="16"/>
        <v>45528</v>
      </c>
      <c r="B424" t="s">
        <v>55</v>
      </c>
      <c r="C424" t="s">
        <v>15</v>
      </c>
      <c r="D424" t="s">
        <v>7</v>
      </c>
      <c r="E424">
        <v>110</v>
      </c>
      <c r="F424" s="55">
        <v>0</v>
      </c>
      <c r="G424">
        <f t="shared" si="15"/>
        <v>0</v>
      </c>
    </row>
    <row r="425" spans="1:7">
      <c r="A425" s="1">
        <f t="shared" si="16"/>
        <v>45529</v>
      </c>
      <c r="B425" t="s">
        <v>55</v>
      </c>
      <c r="C425" t="s">
        <v>15</v>
      </c>
      <c r="D425" t="s">
        <v>7</v>
      </c>
      <c r="E425">
        <v>110</v>
      </c>
      <c r="F425" s="55">
        <v>0</v>
      </c>
      <c r="G425">
        <f t="shared" si="15"/>
        <v>0</v>
      </c>
    </row>
    <row r="426" spans="1:7">
      <c r="A426" s="1">
        <f t="shared" si="16"/>
        <v>45530</v>
      </c>
      <c r="B426" t="s">
        <v>55</v>
      </c>
      <c r="C426" t="s">
        <v>15</v>
      </c>
      <c r="D426" t="s">
        <v>7</v>
      </c>
      <c r="E426">
        <v>110</v>
      </c>
      <c r="F426" s="55">
        <v>1</v>
      </c>
      <c r="G426">
        <f t="shared" si="15"/>
        <v>110</v>
      </c>
    </row>
    <row r="427" spans="1:7">
      <c r="A427" s="1">
        <f t="shared" si="16"/>
        <v>45531</v>
      </c>
      <c r="B427" t="s">
        <v>55</v>
      </c>
      <c r="C427" t="s">
        <v>15</v>
      </c>
      <c r="D427" t="s">
        <v>7</v>
      </c>
      <c r="E427">
        <v>110</v>
      </c>
      <c r="F427" s="55">
        <v>1</v>
      </c>
      <c r="G427">
        <f t="shared" si="15"/>
        <v>110</v>
      </c>
    </row>
    <row r="428" spans="1:7">
      <c r="A428" s="1">
        <f t="shared" si="16"/>
        <v>45532</v>
      </c>
      <c r="B428" t="s">
        <v>55</v>
      </c>
      <c r="C428" t="s">
        <v>15</v>
      </c>
      <c r="D428" t="s">
        <v>7</v>
      </c>
      <c r="E428">
        <v>110</v>
      </c>
      <c r="F428" s="55">
        <v>0</v>
      </c>
      <c r="G428">
        <f t="shared" si="15"/>
        <v>0</v>
      </c>
    </row>
    <row r="429" spans="1:7">
      <c r="A429" s="1">
        <f t="shared" si="16"/>
        <v>45533</v>
      </c>
      <c r="B429" t="s">
        <v>55</v>
      </c>
      <c r="C429" t="s">
        <v>15</v>
      </c>
      <c r="D429" t="s">
        <v>7</v>
      </c>
      <c r="E429">
        <v>110</v>
      </c>
      <c r="F429" s="55">
        <v>1</v>
      </c>
      <c r="G429">
        <f t="shared" si="15"/>
        <v>110</v>
      </c>
    </row>
    <row r="430" spans="1:7">
      <c r="A430" s="1">
        <f t="shared" si="16"/>
        <v>45534</v>
      </c>
      <c r="B430" t="s">
        <v>55</v>
      </c>
      <c r="C430" t="s">
        <v>15</v>
      </c>
      <c r="D430" t="s">
        <v>7</v>
      </c>
      <c r="E430">
        <v>110</v>
      </c>
      <c r="F430" s="55">
        <v>0</v>
      </c>
      <c r="G430">
        <f t="shared" si="15"/>
        <v>0</v>
      </c>
    </row>
    <row r="431" spans="1:7">
      <c r="A431" s="1">
        <f t="shared" si="16"/>
        <v>45535</v>
      </c>
      <c r="B431" t="s">
        <v>55</v>
      </c>
      <c r="C431" t="s">
        <v>15</v>
      </c>
      <c r="D431" t="s">
        <v>7</v>
      </c>
      <c r="E431">
        <v>110</v>
      </c>
      <c r="F431" s="55">
        <v>0</v>
      </c>
      <c r="G431">
        <f t="shared" si="15"/>
        <v>0</v>
      </c>
    </row>
    <row r="432" spans="1:7">
      <c r="A432" s="1">
        <v>45505</v>
      </c>
      <c r="B432" t="s">
        <v>55</v>
      </c>
      <c r="C432" t="s">
        <v>15</v>
      </c>
      <c r="D432" t="s">
        <v>8</v>
      </c>
      <c r="E432">
        <v>0.26</v>
      </c>
      <c r="F432" s="55">
        <v>0</v>
      </c>
      <c r="G432">
        <f t="shared" si="15"/>
        <v>0</v>
      </c>
    </row>
    <row r="433" spans="1:7">
      <c r="A433" s="1">
        <f>A432+1</f>
        <v>45506</v>
      </c>
      <c r="B433" t="s">
        <v>55</v>
      </c>
      <c r="C433" t="s">
        <v>15</v>
      </c>
      <c r="D433" t="s">
        <v>8</v>
      </c>
      <c r="E433">
        <v>0.26</v>
      </c>
      <c r="F433" s="55">
        <v>0</v>
      </c>
      <c r="G433">
        <f t="shared" si="15"/>
        <v>0</v>
      </c>
    </row>
    <row r="434" spans="1:7">
      <c r="A434" s="1">
        <f t="shared" ref="A434:A462" si="17">A433+1</f>
        <v>45507</v>
      </c>
      <c r="B434" t="s">
        <v>55</v>
      </c>
      <c r="C434" t="s">
        <v>15</v>
      </c>
      <c r="D434" t="s">
        <v>8</v>
      </c>
      <c r="E434">
        <v>0.26</v>
      </c>
      <c r="F434" s="55">
        <v>0</v>
      </c>
      <c r="G434">
        <f t="shared" si="15"/>
        <v>0</v>
      </c>
    </row>
    <row r="435" spans="1:7">
      <c r="A435" s="1">
        <f t="shared" si="17"/>
        <v>45508</v>
      </c>
      <c r="B435" t="s">
        <v>55</v>
      </c>
      <c r="C435" t="s">
        <v>15</v>
      </c>
      <c r="D435" t="s">
        <v>8</v>
      </c>
      <c r="E435">
        <v>0.26</v>
      </c>
      <c r="F435" s="55">
        <v>0</v>
      </c>
      <c r="G435">
        <f t="shared" si="15"/>
        <v>0</v>
      </c>
    </row>
    <row r="436" spans="1:7">
      <c r="A436" s="1">
        <f t="shared" si="17"/>
        <v>45509</v>
      </c>
      <c r="B436" t="s">
        <v>55</v>
      </c>
      <c r="C436" t="s">
        <v>15</v>
      </c>
      <c r="D436" t="s">
        <v>8</v>
      </c>
      <c r="E436">
        <v>0.26</v>
      </c>
      <c r="F436" s="55">
        <v>0</v>
      </c>
      <c r="G436">
        <f t="shared" si="15"/>
        <v>0</v>
      </c>
    </row>
    <row r="437" spans="1:7">
      <c r="A437" s="1">
        <f t="shared" si="17"/>
        <v>45510</v>
      </c>
      <c r="B437" t="s">
        <v>55</v>
      </c>
      <c r="C437" t="s">
        <v>15</v>
      </c>
      <c r="D437" t="s">
        <v>8</v>
      </c>
      <c r="E437">
        <v>0.26</v>
      </c>
      <c r="F437" s="55">
        <v>0</v>
      </c>
      <c r="G437">
        <f t="shared" si="15"/>
        <v>0</v>
      </c>
    </row>
    <row r="438" spans="1:7">
      <c r="A438" s="1">
        <f t="shared" si="17"/>
        <v>45511</v>
      </c>
      <c r="B438" t="s">
        <v>55</v>
      </c>
      <c r="C438" t="s">
        <v>15</v>
      </c>
      <c r="D438" t="s">
        <v>8</v>
      </c>
      <c r="E438">
        <v>0.26</v>
      </c>
      <c r="F438" s="55">
        <v>0</v>
      </c>
      <c r="G438">
        <f t="shared" si="15"/>
        <v>0</v>
      </c>
    </row>
    <row r="439" spans="1:7">
      <c r="A439" s="1">
        <f t="shared" si="17"/>
        <v>45512</v>
      </c>
      <c r="B439" t="s">
        <v>55</v>
      </c>
      <c r="C439" t="s">
        <v>15</v>
      </c>
      <c r="D439" t="s">
        <v>8</v>
      </c>
      <c r="E439">
        <v>0.26</v>
      </c>
      <c r="F439" s="55">
        <v>0</v>
      </c>
      <c r="G439">
        <f t="shared" si="15"/>
        <v>0</v>
      </c>
    </row>
    <row r="440" spans="1:7">
      <c r="A440" s="1">
        <f t="shared" si="17"/>
        <v>45513</v>
      </c>
      <c r="B440" t="s">
        <v>55</v>
      </c>
      <c r="C440" t="s">
        <v>15</v>
      </c>
      <c r="D440" t="s">
        <v>8</v>
      </c>
      <c r="E440">
        <v>0.26</v>
      </c>
      <c r="F440" s="55">
        <v>0</v>
      </c>
      <c r="G440">
        <f t="shared" si="15"/>
        <v>0</v>
      </c>
    </row>
    <row r="441" spans="1:7">
      <c r="A441" s="1">
        <f t="shared" si="17"/>
        <v>45514</v>
      </c>
      <c r="B441" t="s">
        <v>55</v>
      </c>
      <c r="C441" t="s">
        <v>15</v>
      </c>
      <c r="D441" t="s">
        <v>8</v>
      </c>
      <c r="E441">
        <v>0.26</v>
      </c>
      <c r="F441" s="55">
        <v>0</v>
      </c>
      <c r="G441">
        <f t="shared" si="15"/>
        <v>0</v>
      </c>
    </row>
    <row r="442" spans="1:7">
      <c r="A442" s="1">
        <f t="shared" si="17"/>
        <v>45515</v>
      </c>
      <c r="B442" t="s">
        <v>55</v>
      </c>
      <c r="C442" t="s">
        <v>15</v>
      </c>
      <c r="D442" t="s">
        <v>8</v>
      </c>
      <c r="E442">
        <v>0.26</v>
      </c>
      <c r="F442" s="55">
        <v>0</v>
      </c>
      <c r="G442">
        <f t="shared" si="15"/>
        <v>0</v>
      </c>
    </row>
    <row r="443" spans="1:7">
      <c r="A443" s="1">
        <f t="shared" si="17"/>
        <v>45516</v>
      </c>
      <c r="B443" t="s">
        <v>55</v>
      </c>
      <c r="C443" t="s">
        <v>15</v>
      </c>
      <c r="D443" t="s">
        <v>8</v>
      </c>
      <c r="E443">
        <v>0.26</v>
      </c>
      <c r="F443" s="55">
        <v>0</v>
      </c>
      <c r="G443">
        <f t="shared" si="15"/>
        <v>0</v>
      </c>
    </row>
    <row r="444" spans="1:7">
      <c r="A444" s="1">
        <f t="shared" si="17"/>
        <v>45517</v>
      </c>
      <c r="B444" t="s">
        <v>55</v>
      </c>
      <c r="C444" t="s">
        <v>15</v>
      </c>
      <c r="D444" t="s">
        <v>8</v>
      </c>
      <c r="E444">
        <v>0.26</v>
      </c>
      <c r="F444" s="55">
        <v>0</v>
      </c>
      <c r="G444">
        <f t="shared" si="15"/>
        <v>0</v>
      </c>
    </row>
    <row r="445" spans="1:7">
      <c r="A445" s="1">
        <f t="shared" si="17"/>
        <v>45518</v>
      </c>
      <c r="B445" t="s">
        <v>55</v>
      </c>
      <c r="C445" t="s">
        <v>15</v>
      </c>
      <c r="D445" t="s">
        <v>8</v>
      </c>
      <c r="E445">
        <v>0.26</v>
      </c>
      <c r="F445" s="55">
        <v>0</v>
      </c>
      <c r="G445">
        <f t="shared" si="15"/>
        <v>0</v>
      </c>
    </row>
    <row r="446" spans="1:7">
      <c r="A446" s="1">
        <f t="shared" si="17"/>
        <v>45519</v>
      </c>
      <c r="B446" t="s">
        <v>55</v>
      </c>
      <c r="C446" t="s">
        <v>15</v>
      </c>
      <c r="D446" t="s">
        <v>8</v>
      </c>
      <c r="E446">
        <v>0.26</v>
      </c>
      <c r="F446" s="55">
        <v>0</v>
      </c>
      <c r="G446">
        <f t="shared" si="15"/>
        <v>0</v>
      </c>
    </row>
    <row r="447" spans="1:7">
      <c r="A447" s="1">
        <f t="shared" si="17"/>
        <v>45520</v>
      </c>
      <c r="B447" t="s">
        <v>55</v>
      </c>
      <c r="C447" t="s">
        <v>15</v>
      </c>
      <c r="D447" t="s">
        <v>8</v>
      </c>
      <c r="E447">
        <v>0.26</v>
      </c>
      <c r="F447" s="55">
        <v>0</v>
      </c>
      <c r="G447">
        <f t="shared" si="15"/>
        <v>0</v>
      </c>
    </row>
    <row r="448" spans="1:7">
      <c r="A448" s="1">
        <f t="shared" si="17"/>
        <v>45521</v>
      </c>
      <c r="B448" t="s">
        <v>55</v>
      </c>
      <c r="C448" t="s">
        <v>15</v>
      </c>
      <c r="D448" t="s">
        <v>8</v>
      </c>
      <c r="E448">
        <v>0.26</v>
      </c>
      <c r="F448" s="55">
        <v>0</v>
      </c>
      <c r="G448">
        <f t="shared" si="15"/>
        <v>0</v>
      </c>
    </row>
    <row r="449" spans="1:7">
      <c r="A449" s="1">
        <f t="shared" si="17"/>
        <v>45522</v>
      </c>
      <c r="B449" t="s">
        <v>55</v>
      </c>
      <c r="C449" t="s">
        <v>15</v>
      </c>
      <c r="D449" t="s">
        <v>8</v>
      </c>
      <c r="E449">
        <v>0.26</v>
      </c>
      <c r="F449" s="55">
        <v>0</v>
      </c>
      <c r="G449">
        <f t="shared" si="15"/>
        <v>0</v>
      </c>
    </row>
    <row r="450" spans="1:7">
      <c r="A450" s="1">
        <f t="shared" si="17"/>
        <v>45523</v>
      </c>
      <c r="B450" t="s">
        <v>55</v>
      </c>
      <c r="C450" t="s">
        <v>15</v>
      </c>
      <c r="D450" t="s">
        <v>8</v>
      </c>
      <c r="E450">
        <v>0.26</v>
      </c>
      <c r="F450" s="55">
        <v>1</v>
      </c>
      <c r="G450">
        <f t="shared" si="15"/>
        <v>0.26</v>
      </c>
    </row>
    <row r="451" spans="1:7">
      <c r="A451" s="1">
        <f t="shared" si="17"/>
        <v>45524</v>
      </c>
      <c r="B451" t="s">
        <v>55</v>
      </c>
      <c r="C451" t="s">
        <v>15</v>
      </c>
      <c r="D451" t="s">
        <v>8</v>
      </c>
      <c r="E451">
        <v>0.26</v>
      </c>
      <c r="F451" s="55">
        <v>0</v>
      </c>
      <c r="G451">
        <f t="shared" ref="G451:G514" si="18">F451*E451</f>
        <v>0</v>
      </c>
    </row>
    <row r="452" spans="1:7">
      <c r="A452" s="1">
        <f t="shared" si="17"/>
        <v>45525</v>
      </c>
      <c r="B452" t="s">
        <v>55</v>
      </c>
      <c r="C452" t="s">
        <v>15</v>
      </c>
      <c r="D452" t="s">
        <v>8</v>
      </c>
      <c r="E452">
        <v>0.26</v>
      </c>
      <c r="F452" s="55">
        <v>0</v>
      </c>
      <c r="G452">
        <f t="shared" si="18"/>
        <v>0</v>
      </c>
    </row>
    <row r="453" spans="1:7">
      <c r="A453" s="1">
        <f t="shared" si="17"/>
        <v>45526</v>
      </c>
      <c r="B453" t="s">
        <v>55</v>
      </c>
      <c r="C453" t="s">
        <v>15</v>
      </c>
      <c r="D453" t="s">
        <v>8</v>
      </c>
      <c r="E453">
        <v>0.26</v>
      </c>
      <c r="F453" s="55">
        <v>0</v>
      </c>
      <c r="G453">
        <f t="shared" si="18"/>
        <v>0</v>
      </c>
    </row>
    <row r="454" spans="1:7">
      <c r="A454" s="1">
        <f t="shared" si="17"/>
        <v>45527</v>
      </c>
      <c r="B454" t="s">
        <v>55</v>
      </c>
      <c r="C454" t="s">
        <v>15</v>
      </c>
      <c r="D454" t="s">
        <v>8</v>
      </c>
      <c r="E454">
        <v>0.26</v>
      </c>
      <c r="F454" s="55">
        <v>0</v>
      </c>
      <c r="G454">
        <f t="shared" si="18"/>
        <v>0</v>
      </c>
    </row>
    <row r="455" spans="1:7">
      <c r="A455" s="1">
        <f t="shared" si="17"/>
        <v>45528</v>
      </c>
      <c r="B455" t="s">
        <v>55</v>
      </c>
      <c r="C455" t="s">
        <v>15</v>
      </c>
      <c r="D455" t="s">
        <v>8</v>
      </c>
      <c r="E455">
        <v>0.26</v>
      </c>
      <c r="F455" s="55">
        <v>0</v>
      </c>
      <c r="G455">
        <f t="shared" si="18"/>
        <v>0</v>
      </c>
    </row>
    <row r="456" spans="1:7">
      <c r="A456" s="1">
        <f t="shared" si="17"/>
        <v>45529</v>
      </c>
      <c r="B456" t="s">
        <v>55</v>
      </c>
      <c r="C456" t="s">
        <v>15</v>
      </c>
      <c r="D456" t="s">
        <v>8</v>
      </c>
      <c r="E456">
        <v>0.26</v>
      </c>
      <c r="F456" s="55">
        <v>0</v>
      </c>
      <c r="G456">
        <f t="shared" si="18"/>
        <v>0</v>
      </c>
    </row>
    <row r="457" spans="1:7">
      <c r="A457" s="1">
        <f t="shared" si="17"/>
        <v>45530</v>
      </c>
      <c r="B457" t="s">
        <v>55</v>
      </c>
      <c r="C457" t="s">
        <v>15</v>
      </c>
      <c r="D457" t="s">
        <v>8</v>
      </c>
      <c r="E457">
        <v>0.26</v>
      </c>
      <c r="F457" s="55">
        <v>0</v>
      </c>
      <c r="G457">
        <f t="shared" si="18"/>
        <v>0</v>
      </c>
    </row>
    <row r="458" spans="1:7">
      <c r="A458" s="1">
        <f t="shared" si="17"/>
        <v>45531</v>
      </c>
      <c r="B458" t="s">
        <v>55</v>
      </c>
      <c r="C458" t="s">
        <v>15</v>
      </c>
      <c r="D458" t="s">
        <v>8</v>
      </c>
      <c r="E458">
        <v>0.26</v>
      </c>
      <c r="F458" s="55">
        <v>0</v>
      </c>
      <c r="G458">
        <f t="shared" si="18"/>
        <v>0</v>
      </c>
    </row>
    <row r="459" spans="1:7">
      <c r="A459" s="1">
        <f t="shared" si="17"/>
        <v>45532</v>
      </c>
      <c r="B459" t="s">
        <v>55</v>
      </c>
      <c r="C459" t="s">
        <v>15</v>
      </c>
      <c r="D459" t="s">
        <v>8</v>
      </c>
      <c r="E459">
        <v>0.26</v>
      </c>
      <c r="F459" s="55">
        <v>0</v>
      </c>
      <c r="G459">
        <f t="shared" si="18"/>
        <v>0</v>
      </c>
    </row>
    <row r="460" spans="1:7">
      <c r="A460" s="1">
        <f t="shared" si="17"/>
        <v>45533</v>
      </c>
      <c r="B460" t="s">
        <v>55</v>
      </c>
      <c r="C460" t="s">
        <v>15</v>
      </c>
      <c r="D460" t="s">
        <v>8</v>
      </c>
      <c r="E460">
        <v>0.26</v>
      </c>
      <c r="F460" s="55">
        <v>1</v>
      </c>
      <c r="G460">
        <f t="shared" si="18"/>
        <v>0.26</v>
      </c>
    </row>
    <row r="461" spans="1:7">
      <c r="A461" s="1">
        <f t="shared" si="17"/>
        <v>45534</v>
      </c>
      <c r="B461" t="s">
        <v>55</v>
      </c>
      <c r="C461" t="s">
        <v>15</v>
      </c>
      <c r="D461" t="s">
        <v>8</v>
      </c>
      <c r="E461">
        <v>0.26</v>
      </c>
      <c r="F461" s="55">
        <v>0</v>
      </c>
      <c r="G461">
        <f t="shared" si="18"/>
        <v>0</v>
      </c>
    </row>
    <row r="462" spans="1:7">
      <c r="A462" s="1">
        <f t="shared" si="17"/>
        <v>45535</v>
      </c>
      <c r="B462" t="s">
        <v>55</v>
      </c>
      <c r="C462" t="s">
        <v>15</v>
      </c>
      <c r="D462" t="s">
        <v>8</v>
      </c>
      <c r="E462">
        <v>0.26</v>
      </c>
      <c r="F462" s="55">
        <v>0</v>
      </c>
      <c r="G462">
        <f t="shared" si="18"/>
        <v>0</v>
      </c>
    </row>
    <row r="463" spans="1:7">
      <c r="A463" s="1">
        <v>45505</v>
      </c>
      <c r="B463" t="s">
        <v>55</v>
      </c>
      <c r="C463" t="s">
        <v>15</v>
      </c>
      <c r="D463" t="s">
        <v>9</v>
      </c>
      <c r="E463">
        <v>69.52</v>
      </c>
      <c r="F463" s="55">
        <v>7</v>
      </c>
      <c r="G463">
        <f t="shared" si="18"/>
        <v>486.64</v>
      </c>
    </row>
    <row r="464" spans="1:7">
      <c r="A464" s="1">
        <f>A463+1</f>
        <v>45506</v>
      </c>
      <c r="B464" t="s">
        <v>55</v>
      </c>
      <c r="C464" t="s">
        <v>15</v>
      </c>
      <c r="D464" t="s">
        <v>9</v>
      </c>
      <c r="E464">
        <v>69.52</v>
      </c>
      <c r="F464" s="55">
        <v>4</v>
      </c>
      <c r="G464">
        <f t="shared" si="18"/>
        <v>278.08</v>
      </c>
    </row>
    <row r="465" spans="1:7">
      <c r="A465" s="1">
        <f t="shared" ref="A465:A493" si="19">A464+1</f>
        <v>45507</v>
      </c>
      <c r="B465" t="s">
        <v>55</v>
      </c>
      <c r="C465" t="s">
        <v>15</v>
      </c>
      <c r="D465" t="s">
        <v>9</v>
      </c>
      <c r="E465">
        <v>69.52</v>
      </c>
      <c r="F465" s="55">
        <v>0</v>
      </c>
      <c r="G465">
        <f t="shared" si="18"/>
        <v>0</v>
      </c>
    </row>
    <row r="466" spans="1:7">
      <c r="A466" s="1">
        <f t="shared" si="19"/>
        <v>45508</v>
      </c>
      <c r="B466" t="s">
        <v>55</v>
      </c>
      <c r="C466" t="s">
        <v>15</v>
      </c>
      <c r="D466" t="s">
        <v>9</v>
      </c>
      <c r="E466">
        <v>69.52</v>
      </c>
      <c r="F466" s="55">
        <v>0</v>
      </c>
      <c r="G466">
        <f t="shared" si="18"/>
        <v>0</v>
      </c>
    </row>
    <row r="467" spans="1:7">
      <c r="A467" s="1">
        <f t="shared" si="19"/>
        <v>45509</v>
      </c>
      <c r="B467" t="s">
        <v>55</v>
      </c>
      <c r="C467" t="s">
        <v>15</v>
      </c>
      <c r="D467" t="s">
        <v>9</v>
      </c>
      <c r="E467">
        <v>69.52</v>
      </c>
      <c r="F467" s="55">
        <v>4</v>
      </c>
      <c r="G467">
        <f t="shared" si="18"/>
        <v>278.08</v>
      </c>
    </row>
    <row r="468" spans="1:7">
      <c r="A468" s="1">
        <f t="shared" si="19"/>
        <v>45510</v>
      </c>
      <c r="B468" t="s">
        <v>55</v>
      </c>
      <c r="C468" t="s">
        <v>15</v>
      </c>
      <c r="D468" t="s">
        <v>9</v>
      </c>
      <c r="E468">
        <v>69.52</v>
      </c>
      <c r="F468" s="55">
        <v>4</v>
      </c>
      <c r="G468">
        <f t="shared" si="18"/>
        <v>278.08</v>
      </c>
    </row>
    <row r="469" spans="1:7">
      <c r="A469" s="1">
        <f t="shared" si="19"/>
        <v>45511</v>
      </c>
      <c r="B469" t="s">
        <v>55</v>
      </c>
      <c r="C469" t="s">
        <v>15</v>
      </c>
      <c r="D469" t="s">
        <v>9</v>
      </c>
      <c r="E469">
        <v>69.52</v>
      </c>
      <c r="F469" s="55">
        <v>5</v>
      </c>
      <c r="G469">
        <f t="shared" si="18"/>
        <v>347.59999999999997</v>
      </c>
    </row>
    <row r="470" spans="1:7">
      <c r="A470" s="1">
        <f t="shared" si="19"/>
        <v>45512</v>
      </c>
      <c r="B470" t="s">
        <v>55</v>
      </c>
      <c r="C470" t="s">
        <v>15</v>
      </c>
      <c r="D470" t="s">
        <v>9</v>
      </c>
      <c r="E470">
        <v>69.52</v>
      </c>
      <c r="F470" s="55">
        <v>5</v>
      </c>
      <c r="G470">
        <f t="shared" si="18"/>
        <v>347.59999999999997</v>
      </c>
    </row>
    <row r="471" spans="1:7">
      <c r="A471" s="1">
        <f t="shared" si="19"/>
        <v>45513</v>
      </c>
      <c r="B471" t="s">
        <v>55</v>
      </c>
      <c r="C471" t="s">
        <v>15</v>
      </c>
      <c r="D471" t="s">
        <v>9</v>
      </c>
      <c r="E471">
        <v>69.52</v>
      </c>
      <c r="F471" s="55">
        <v>3</v>
      </c>
      <c r="G471">
        <f t="shared" si="18"/>
        <v>208.56</v>
      </c>
    </row>
    <row r="472" spans="1:7">
      <c r="A472" s="1">
        <f t="shared" si="19"/>
        <v>45514</v>
      </c>
      <c r="B472" t="s">
        <v>55</v>
      </c>
      <c r="C472" t="s">
        <v>15</v>
      </c>
      <c r="D472" t="s">
        <v>9</v>
      </c>
      <c r="E472">
        <v>69.52</v>
      </c>
      <c r="F472" s="55">
        <v>0</v>
      </c>
      <c r="G472">
        <f t="shared" si="18"/>
        <v>0</v>
      </c>
    </row>
    <row r="473" spans="1:7">
      <c r="A473" s="1">
        <f t="shared" si="19"/>
        <v>45515</v>
      </c>
      <c r="B473" t="s">
        <v>55</v>
      </c>
      <c r="C473" t="s">
        <v>15</v>
      </c>
      <c r="D473" t="s">
        <v>9</v>
      </c>
      <c r="E473">
        <v>69.52</v>
      </c>
      <c r="F473" s="55">
        <v>0</v>
      </c>
      <c r="G473">
        <f t="shared" si="18"/>
        <v>0</v>
      </c>
    </row>
    <row r="474" spans="1:7">
      <c r="A474" s="1">
        <f t="shared" si="19"/>
        <v>45516</v>
      </c>
      <c r="B474" t="s">
        <v>55</v>
      </c>
      <c r="C474" t="s">
        <v>15</v>
      </c>
      <c r="D474" t="s">
        <v>9</v>
      </c>
      <c r="E474">
        <v>69.52</v>
      </c>
      <c r="F474" s="55">
        <v>4</v>
      </c>
      <c r="G474">
        <f t="shared" si="18"/>
        <v>278.08</v>
      </c>
    </row>
    <row r="475" spans="1:7">
      <c r="A475" s="1">
        <f t="shared" si="19"/>
        <v>45517</v>
      </c>
      <c r="B475" t="s">
        <v>55</v>
      </c>
      <c r="C475" t="s">
        <v>15</v>
      </c>
      <c r="D475" t="s">
        <v>9</v>
      </c>
      <c r="E475">
        <v>69.52</v>
      </c>
      <c r="F475" s="55">
        <v>4</v>
      </c>
      <c r="G475">
        <f t="shared" si="18"/>
        <v>278.08</v>
      </c>
    </row>
    <row r="476" spans="1:7">
      <c r="A476" s="1">
        <f t="shared" si="19"/>
        <v>45518</v>
      </c>
      <c r="B476" t="s">
        <v>55</v>
      </c>
      <c r="C476" t="s">
        <v>15</v>
      </c>
      <c r="D476" t="s">
        <v>9</v>
      </c>
      <c r="E476">
        <v>69.52</v>
      </c>
      <c r="F476" s="55">
        <v>4</v>
      </c>
      <c r="G476">
        <f t="shared" si="18"/>
        <v>278.08</v>
      </c>
    </row>
    <row r="477" spans="1:7">
      <c r="A477" s="1">
        <f t="shared" si="19"/>
        <v>45519</v>
      </c>
      <c r="B477" t="s">
        <v>55</v>
      </c>
      <c r="C477" t="s">
        <v>15</v>
      </c>
      <c r="D477" t="s">
        <v>9</v>
      </c>
      <c r="E477">
        <v>69.52</v>
      </c>
      <c r="F477" s="55">
        <v>1</v>
      </c>
      <c r="G477">
        <f t="shared" si="18"/>
        <v>69.52</v>
      </c>
    </row>
    <row r="478" spans="1:7">
      <c r="A478" s="1">
        <f t="shared" si="19"/>
        <v>45520</v>
      </c>
      <c r="B478" t="s">
        <v>55</v>
      </c>
      <c r="C478" t="s">
        <v>15</v>
      </c>
      <c r="D478" t="s">
        <v>9</v>
      </c>
      <c r="E478">
        <v>69.52</v>
      </c>
      <c r="F478" s="55">
        <v>3</v>
      </c>
      <c r="G478">
        <f t="shared" si="18"/>
        <v>208.56</v>
      </c>
    </row>
    <row r="479" spans="1:7">
      <c r="A479" s="1">
        <f t="shared" si="19"/>
        <v>45521</v>
      </c>
      <c r="B479" t="s">
        <v>55</v>
      </c>
      <c r="C479" t="s">
        <v>15</v>
      </c>
      <c r="D479" t="s">
        <v>9</v>
      </c>
      <c r="E479">
        <v>69.52</v>
      </c>
      <c r="F479" s="55">
        <v>0</v>
      </c>
      <c r="G479">
        <f t="shared" si="18"/>
        <v>0</v>
      </c>
    </row>
    <row r="480" spans="1:7">
      <c r="A480" s="1">
        <f t="shared" si="19"/>
        <v>45522</v>
      </c>
      <c r="B480" t="s">
        <v>55</v>
      </c>
      <c r="C480" t="s">
        <v>15</v>
      </c>
      <c r="D480" t="s">
        <v>9</v>
      </c>
      <c r="E480">
        <v>69.52</v>
      </c>
      <c r="F480" s="55">
        <v>0</v>
      </c>
      <c r="G480">
        <f t="shared" si="18"/>
        <v>0</v>
      </c>
    </row>
    <row r="481" spans="1:7">
      <c r="A481" s="1">
        <f t="shared" si="19"/>
        <v>45523</v>
      </c>
      <c r="B481" t="s">
        <v>55</v>
      </c>
      <c r="C481" t="s">
        <v>15</v>
      </c>
      <c r="D481" t="s">
        <v>9</v>
      </c>
      <c r="E481">
        <v>69.52</v>
      </c>
      <c r="F481" s="55">
        <v>2</v>
      </c>
      <c r="G481">
        <f t="shared" si="18"/>
        <v>139.04</v>
      </c>
    </row>
    <row r="482" spans="1:7">
      <c r="A482" s="1">
        <f t="shared" si="19"/>
        <v>45524</v>
      </c>
      <c r="B482" t="s">
        <v>55</v>
      </c>
      <c r="C482" t="s">
        <v>15</v>
      </c>
      <c r="D482" t="s">
        <v>9</v>
      </c>
      <c r="E482">
        <v>69.52</v>
      </c>
      <c r="F482" s="55">
        <v>2</v>
      </c>
      <c r="G482">
        <f t="shared" si="18"/>
        <v>139.04</v>
      </c>
    </row>
    <row r="483" spans="1:7">
      <c r="A483" s="1">
        <f t="shared" si="19"/>
        <v>45525</v>
      </c>
      <c r="B483" t="s">
        <v>55</v>
      </c>
      <c r="C483" t="s">
        <v>15</v>
      </c>
      <c r="D483" t="s">
        <v>9</v>
      </c>
      <c r="E483">
        <v>69.52</v>
      </c>
      <c r="F483" s="55">
        <v>3</v>
      </c>
      <c r="G483">
        <f t="shared" si="18"/>
        <v>208.56</v>
      </c>
    </row>
    <row r="484" spans="1:7">
      <c r="A484" s="1">
        <f t="shared" si="19"/>
        <v>45526</v>
      </c>
      <c r="B484" t="s">
        <v>55</v>
      </c>
      <c r="C484" t="s">
        <v>15</v>
      </c>
      <c r="D484" t="s">
        <v>9</v>
      </c>
      <c r="E484">
        <v>69.52</v>
      </c>
      <c r="F484" s="55">
        <v>3</v>
      </c>
      <c r="G484">
        <f t="shared" si="18"/>
        <v>208.56</v>
      </c>
    </row>
    <row r="485" spans="1:7">
      <c r="A485" s="1">
        <f t="shared" si="19"/>
        <v>45527</v>
      </c>
      <c r="B485" t="s">
        <v>55</v>
      </c>
      <c r="C485" t="s">
        <v>15</v>
      </c>
      <c r="D485" t="s">
        <v>9</v>
      </c>
      <c r="E485">
        <v>69.52</v>
      </c>
      <c r="F485" s="55">
        <v>3</v>
      </c>
      <c r="G485">
        <f t="shared" si="18"/>
        <v>208.56</v>
      </c>
    </row>
    <row r="486" spans="1:7">
      <c r="A486" s="1">
        <f t="shared" si="19"/>
        <v>45528</v>
      </c>
      <c r="B486" t="s">
        <v>55</v>
      </c>
      <c r="C486" t="s">
        <v>15</v>
      </c>
      <c r="D486" t="s">
        <v>9</v>
      </c>
      <c r="E486">
        <v>69.52</v>
      </c>
      <c r="F486" s="55">
        <v>0</v>
      </c>
      <c r="G486">
        <f t="shared" si="18"/>
        <v>0</v>
      </c>
    </row>
    <row r="487" spans="1:7">
      <c r="A487" s="1">
        <f t="shared" si="19"/>
        <v>45529</v>
      </c>
      <c r="B487" t="s">
        <v>55</v>
      </c>
      <c r="C487" t="s">
        <v>15</v>
      </c>
      <c r="D487" t="s">
        <v>9</v>
      </c>
      <c r="E487">
        <v>69.52</v>
      </c>
      <c r="F487" s="55">
        <v>0</v>
      </c>
      <c r="G487">
        <f t="shared" si="18"/>
        <v>0</v>
      </c>
    </row>
    <row r="488" spans="1:7">
      <c r="A488" s="1">
        <f t="shared" si="19"/>
        <v>45530</v>
      </c>
      <c r="B488" t="s">
        <v>55</v>
      </c>
      <c r="C488" t="s">
        <v>15</v>
      </c>
      <c r="D488" t="s">
        <v>9</v>
      </c>
      <c r="E488">
        <v>69.52</v>
      </c>
      <c r="F488" s="55">
        <v>4</v>
      </c>
      <c r="G488">
        <f t="shared" si="18"/>
        <v>278.08</v>
      </c>
    </row>
    <row r="489" spans="1:7">
      <c r="A489" s="1">
        <f t="shared" si="19"/>
        <v>45531</v>
      </c>
      <c r="B489" t="s">
        <v>55</v>
      </c>
      <c r="C489" t="s">
        <v>15</v>
      </c>
      <c r="D489" t="s">
        <v>9</v>
      </c>
      <c r="E489">
        <v>69.52</v>
      </c>
      <c r="F489" s="55">
        <v>4</v>
      </c>
      <c r="G489">
        <f t="shared" si="18"/>
        <v>278.08</v>
      </c>
    </row>
    <row r="490" spans="1:7">
      <c r="A490" s="1">
        <f t="shared" si="19"/>
        <v>45532</v>
      </c>
      <c r="B490" t="s">
        <v>55</v>
      </c>
      <c r="C490" t="s">
        <v>15</v>
      </c>
      <c r="D490" t="s">
        <v>9</v>
      </c>
      <c r="E490">
        <v>69.52</v>
      </c>
      <c r="F490" s="55">
        <v>4</v>
      </c>
      <c r="G490">
        <f t="shared" si="18"/>
        <v>278.08</v>
      </c>
    </row>
    <row r="491" spans="1:7">
      <c r="A491" s="1">
        <f t="shared" si="19"/>
        <v>45533</v>
      </c>
      <c r="B491" t="s">
        <v>55</v>
      </c>
      <c r="C491" t="s">
        <v>15</v>
      </c>
      <c r="D491" t="s">
        <v>9</v>
      </c>
      <c r="E491">
        <v>69.52</v>
      </c>
      <c r="F491" s="55">
        <v>4</v>
      </c>
      <c r="G491">
        <f t="shared" si="18"/>
        <v>278.08</v>
      </c>
    </row>
    <row r="492" spans="1:7">
      <c r="A492" s="1">
        <f t="shared" si="19"/>
        <v>45534</v>
      </c>
      <c r="B492" t="s">
        <v>55</v>
      </c>
      <c r="C492" t="s">
        <v>15</v>
      </c>
      <c r="D492" t="s">
        <v>9</v>
      </c>
      <c r="E492">
        <v>69.52</v>
      </c>
      <c r="F492" s="55">
        <v>0</v>
      </c>
      <c r="G492">
        <f t="shared" si="18"/>
        <v>0</v>
      </c>
    </row>
    <row r="493" spans="1:7">
      <c r="A493" s="1">
        <f t="shared" si="19"/>
        <v>45535</v>
      </c>
      <c r="B493" t="s">
        <v>55</v>
      </c>
      <c r="C493" t="s">
        <v>15</v>
      </c>
      <c r="D493" t="s">
        <v>9</v>
      </c>
      <c r="E493">
        <v>69.52</v>
      </c>
      <c r="F493" s="55">
        <v>0</v>
      </c>
      <c r="G493">
        <f t="shared" si="18"/>
        <v>0</v>
      </c>
    </row>
    <row r="494" spans="1:7">
      <c r="A494" s="1">
        <v>45505</v>
      </c>
      <c r="B494" t="s">
        <v>55</v>
      </c>
      <c r="C494" t="s">
        <v>15</v>
      </c>
      <c r="D494" t="s">
        <v>45</v>
      </c>
      <c r="E494">
        <v>200</v>
      </c>
      <c r="F494" s="55"/>
      <c r="G494">
        <f t="shared" si="18"/>
        <v>0</v>
      </c>
    </row>
    <row r="495" spans="1:7">
      <c r="A495" s="1">
        <f>A494+1</f>
        <v>45506</v>
      </c>
      <c r="B495" t="s">
        <v>55</v>
      </c>
      <c r="C495" t="s">
        <v>15</v>
      </c>
      <c r="D495" t="s">
        <v>45</v>
      </c>
      <c r="E495">
        <v>200</v>
      </c>
      <c r="F495" s="55"/>
      <c r="G495">
        <f t="shared" si="18"/>
        <v>0</v>
      </c>
    </row>
    <row r="496" spans="1:7">
      <c r="A496" s="1">
        <f t="shared" ref="A496:A524" si="20">A495+1</f>
        <v>45507</v>
      </c>
      <c r="B496" t="s">
        <v>55</v>
      </c>
      <c r="C496" t="s">
        <v>15</v>
      </c>
      <c r="D496" t="s">
        <v>45</v>
      </c>
      <c r="E496">
        <v>200</v>
      </c>
      <c r="F496" s="55"/>
      <c r="G496">
        <f t="shared" si="18"/>
        <v>0</v>
      </c>
    </row>
    <row r="497" spans="1:7">
      <c r="A497" s="1">
        <f t="shared" si="20"/>
        <v>45508</v>
      </c>
      <c r="B497" t="s">
        <v>55</v>
      </c>
      <c r="C497" t="s">
        <v>15</v>
      </c>
      <c r="D497" t="s">
        <v>45</v>
      </c>
      <c r="E497">
        <v>200</v>
      </c>
      <c r="F497" s="55"/>
      <c r="G497">
        <f t="shared" si="18"/>
        <v>0</v>
      </c>
    </row>
    <row r="498" spans="1:7">
      <c r="A498" s="1">
        <f t="shared" si="20"/>
        <v>45509</v>
      </c>
      <c r="B498" t="s">
        <v>55</v>
      </c>
      <c r="C498" t="s">
        <v>15</v>
      </c>
      <c r="D498" t="s">
        <v>45</v>
      </c>
      <c r="E498">
        <v>200</v>
      </c>
      <c r="F498" s="55"/>
      <c r="G498">
        <f t="shared" si="18"/>
        <v>0</v>
      </c>
    </row>
    <row r="499" spans="1:7">
      <c r="A499" s="1">
        <f t="shared" si="20"/>
        <v>45510</v>
      </c>
      <c r="B499" t="s">
        <v>55</v>
      </c>
      <c r="C499" t="s">
        <v>15</v>
      </c>
      <c r="D499" t="s">
        <v>45</v>
      </c>
      <c r="E499">
        <v>200</v>
      </c>
      <c r="F499" s="55"/>
      <c r="G499">
        <f t="shared" si="18"/>
        <v>0</v>
      </c>
    </row>
    <row r="500" spans="1:7">
      <c r="A500" s="1">
        <f t="shared" si="20"/>
        <v>45511</v>
      </c>
      <c r="B500" t="s">
        <v>55</v>
      </c>
      <c r="C500" t="s">
        <v>15</v>
      </c>
      <c r="D500" t="s">
        <v>45</v>
      </c>
      <c r="E500">
        <v>200</v>
      </c>
      <c r="F500" s="55"/>
      <c r="G500">
        <f t="shared" si="18"/>
        <v>0</v>
      </c>
    </row>
    <row r="501" spans="1:7">
      <c r="A501" s="1">
        <f t="shared" si="20"/>
        <v>45512</v>
      </c>
      <c r="B501" t="s">
        <v>55</v>
      </c>
      <c r="C501" t="s">
        <v>15</v>
      </c>
      <c r="D501" t="s">
        <v>45</v>
      </c>
      <c r="E501">
        <v>200</v>
      </c>
      <c r="F501" s="55"/>
      <c r="G501">
        <f t="shared" si="18"/>
        <v>0</v>
      </c>
    </row>
    <row r="502" spans="1:7">
      <c r="A502" s="1">
        <f t="shared" si="20"/>
        <v>45513</v>
      </c>
      <c r="B502" t="s">
        <v>55</v>
      </c>
      <c r="C502" t="s">
        <v>15</v>
      </c>
      <c r="D502" t="s">
        <v>45</v>
      </c>
      <c r="E502">
        <v>200</v>
      </c>
      <c r="F502" s="55"/>
      <c r="G502">
        <f t="shared" si="18"/>
        <v>0</v>
      </c>
    </row>
    <row r="503" spans="1:7">
      <c r="A503" s="1">
        <f t="shared" si="20"/>
        <v>45514</v>
      </c>
      <c r="B503" t="s">
        <v>55</v>
      </c>
      <c r="C503" t="s">
        <v>15</v>
      </c>
      <c r="D503" t="s">
        <v>45</v>
      </c>
      <c r="E503">
        <v>200</v>
      </c>
      <c r="F503" s="55"/>
      <c r="G503">
        <f t="shared" si="18"/>
        <v>0</v>
      </c>
    </row>
    <row r="504" spans="1:7">
      <c r="A504" s="1">
        <f t="shared" si="20"/>
        <v>45515</v>
      </c>
      <c r="B504" t="s">
        <v>55</v>
      </c>
      <c r="C504" t="s">
        <v>15</v>
      </c>
      <c r="D504" t="s">
        <v>45</v>
      </c>
      <c r="E504">
        <v>200</v>
      </c>
      <c r="F504" s="55"/>
      <c r="G504">
        <f t="shared" si="18"/>
        <v>0</v>
      </c>
    </row>
    <row r="505" spans="1:7">
      <c r="A505" s="1">
        <f t="shared" si="20"/>
        <v>45516</v>
      </c>
      <c r="B505" t="s">
        <v>55</v>
      </c>
      <c r="C505" t="s">
        <v>15</v>
      </c>
      <c r="D505" t="s">
        <v>45</v>
      </c>
      <c r="E505">
        <v>200</v>
      </c>
      <c r="F505" s="55"/>
      <c r="G505">
        <f t="shared" si="18"/>
        <v>0</v>
      </c>
    </row>
    <row r="506" spans="1:7">
      <c r="A506" s="1">
        <f t="shared" si="20"/>
        <v>45517</v>
      </c>
      <c r="B506" t="s">
        <v>55</v>
      </c>
      <c r="C506" t="s">
        <v>15</v>
      </c>
      <c r="D506" t="s">
        <v>45</v>
      </c>
      <c r="E506">
        <v>200</v>
      </c>
      <c r="F506" s="55"/>
      <c r="G506">
        <f t="shared" si="18"/>
        <v>0</v>
      </c>
    </row>
    <row r="507" spans="1:7">
      <c r="A507" s="1">
        <f t="shared" si="20"/>
        <v>45518</v>
      </c>
      <c r="B507" t="s">
        <v>55</v>
      </c>
      <c r="C507" t="s">
        <v>15</v>
      </c>
      <c r="D507" t="s">
        <v>45</v>
      </c>
      <c r="E507">
        <v>200</v>
      </c>
      <c r="F507" s="55"/>
      <c r="G507">
        <f t="shared" si="18"/>
        <v>0</v>
      </c>
    </row>
    <row r="508" spans="1:7">
      <c r="A508" s="1">
        <f t="shared" si="20"/>
        <v>45519</v>
      </c>
      <c r="B508" t="s">
        <v>55</v>
      </c>
      <c r="C508" t="s">
        <v>15</v>
      </c>
      <c r="D508" t="s">
        <v>45</v>
      </c>
      <c r="E508">
        <v>200</v>
      </c>
      <c r="F508" s="55"/>
      <c r="G508">
        <f t="shared" si="18"/>
        <v>0</v>
      </c>
    </row>
    <row r="509" spans="1:7">
      <c r="A509" s="1">
        <f t="shared" si="20"/>
        <v>45520</v>
      </c>
      <c r="B509" t="s">
        <v>55</v>
      </c>
      <c r="C509" t="s">
        <v>15</v>
      </c>
      <c r="D509" t="s">
        <v>45</v>
      </c>
      <c r="E509">
        <v>200</v>
      </c>
      <c r="F509" s="55"/>
      <c r="G509">
        <f t="shared" si="18"/>
        <v>0</v>
      </c>
    </row>
    <row r="510" spans="1:7">
      <c r="A510" s="1">
        <f t="shared" si="20"/>
        <v>45521</v>
      </c>
      <c r="B510" t="s">
        <v>55</v>
      </c>
      <c r="C510" t="s">
        <v>15</v>
      </c>
      <c r="D510" t="s">
        <v>45</v>
      </c>
      <c r="E510">
        <v>200</v>
      </c>
      <c r="F510" s="55"/>
      <c r="G510">
        <f t="shared" si="18"/>
        <v>0</v>
      </c>
    </row>
    <row r="511" spans="1:7">
      <c r="A511" s="1">
        <f t="shared" si="20"/>
        <v>45522</v>
      </c>
      <c r="B511" t="s">
        <v>55</v>
      </c>
      <c r="C511" t="s">
        <v>15</v>
      </c>
      <c r="D511" t="s">
        <v>45</v>
      </c>
      <c r="E511">
        <v>200</v>
      </c>
      <c r="F511" s="55"/>
      <c r="G511">
        <f t="shared" si="18"/>
        <v>0</v>
      </c>
    </row>
    <row r="512" spans="1:7">
      <c r="A512" s="1">
        <f t="shared" si="20"/>
        <v>45523</v>
      </c>
      <c r="B512" t="s">
        <v>55</v>
      </c>
      <c r="C512" t="s">
        <v>15</v>
      </c>
      <c r="D512" t="s">
        <v>45</v>
      </c>
      <c r="E512">
        <v>200</v>
      </c>
      <c r="F512" s="55"/>
      <c r="G512">
        <f t="shared" si="18"/>
        <v>0</v>
      </c>
    </row>
    <row r="513" spans="1:7">
      <c r="A513" s="1">
        <f t="shared" si="20"/>
        <v>45524</v>
      </c>
      <c r="B513" t="s">
        <v>55</v>
      </c>
      <c r="C513" t="s">
        <v>15</v>
      </c>
      <c r="D513" t="s">
        <v>45</v>
      </c>
      <c r="E513">
        <v>200</v>
      </c>
      <c r="F513" s="55"/>
      <c r="G513">
        <f t="shared" si="18"/>
        <v>0</v>
      </c>
    </row>
    <row r="514" spans="1:7">
      <c r="A514" s="1">
        <f t="shared" si="20"/>
        <v>45525</v>
      </c>
      <c r="B514" t="s">
        <v>55</v>
      </c>
      <c r="C514" t="s">
        <v>15</v>
      </c>
      <c r="D514" t="s">
        <v>45</v>
      </c>
      <c r="E514">
        <v>200</v>
      </c>
      <c r="F514" s="55"/>
      <c r="G514">
        <f t="shared" si="18"/>
        <v>0</v>
      </c>
    </row>
    <row r="515" spans="1:7">
      <c r="A515" s="1">
        <f t="shared" si="20"/>
        <v>45526</v>
      </c>
      <c r="B515" t="s">
        <v>55</v>
      </c>
      <c r="C515" t="s">
        <v>15</v>
      </c>
      <c r="D515" t="s">
        <v>45</v>
      </c>
      <c r="E515">
        <v>200</v>
      </c>
      <c r="F515" s="55"/>
      <c r="G515">
        <f t="shared" ref="G515:G578" si="21">F515*E515</f>
        <v>0</v>
      </c>
    </row>
    <row r="516" spans="1:7">
      <c r="A516" s="1">
        <f t="shared" si="20"/>
        <v>45527</v>
      </c>
      <c r="B516" t="s">
        <v>55</v>
      </c>
      <c r="C516" t="s">
        <v>15</v>
      </c>
      <c r="D516" t="s">
        <v>45</v>
      </c>
      <c r="E516">
        <v>200</v>
      </c>
      <c r="F516" s="55"/>
      <c r="G516">
        <f t="shared" si="21"/>
        <v>0</v>
      </c>
    </row>
    <row r="517" spans="1:7">
      <c r="A517" s="1">
        <f t="shared" si="20"/>
        <v>45528</v>
      </c>
      <c r="B517" t="s">
        <v>55</v>
      </c>
      <c r="C517" t="s">
        <v>15</v>
      </c>
      <c r="D517" t="s">
        <v>45</v>
      </c>
      <c r="E517">
        <v>200</v>
      </c>
      <c r="F517" s="55"/>
      <c r="G517">
        <f t="shared" si="21"/>
        <v>0</v>
      </c>
    </row>
    <row r="518" spans="1:7">
      <c r="A518" s="1">
        <f t="shared" si="20"/>
        <v>45529</v>
      </c>
      <c r="B518" t="s">
        <v>55</v>
      </c>
      <c r="C518" t="s">
        <v>15</v>
      </c>
      <c r="D518" t="s">
        <v>45</v>
      </c>
      <c r="E518">
        <v>200</v>
      </c>
      <c r="F518" s="55"/>
      <c r="G518">
        <f t="shared" si="21"/>
        <v>0</v>
      </c>
    </row>
    <row r="519" spans="1:7">
      <c r="A519" s="1">
        <f t="shared" si="20"/>
        <v>45530</v>
      </c>
      <c r="B519" t="s">
        <v>55</v>
      </c>
      <c r="C519" t="s">
        <v>15</v>
      </c>
      <c r="D519" t="s">
        <v>45</v>
      </c>
      <c r="E519">
        <v>200</v>
      </c>
      <c r="F519" s="55"/>
      <c r="G519">
        <f t="shared" si="21"/>
        <v>0</v>
      </c>
    </row>
    <row r="520" spans="1:7">
      <c r="A520" s="1">
        <f t="shared" si="20"/>
        <v>45531</v>
      </c>
      <c r="B520" t="s">
        <v>55</v>
      </c>
      <c r="C520" t="s">
        <v>15</v>
      </c>
      <c r="D520" t="s">
        <v>45</v>
      </c>
      <c r="E520">
        <v>200</v>
      </c>
      <c r="F520" s="55"/>
      <c r="G520">
        <f t="shared" si="21"/>
        <v>0</v>
      </c>
    </row>
    <row r="521" spans="1:7">
      <c r="A521" s="1">
        <f t="shared" si="20"/>
        <v>45532</v>
      </c>
      <c r="B521" t="s">
        <v>55</v>
      </c>
      <c r="C521" t="s">
        <v>15</v>
      </c>
      <c r="D521" t="s">
        <v>45</v>
      </c>
      <c r="E521">
        <v>200</v>
      </c>
      <c r="F521" s="55"/>
      <c r="G521">
        <f t="shared" si="21"/>
        <v>0</v>
      </c>
    </row>
    <row r="522" spans="1:7">
      <c r="A522" s="1">
        <f t="shared" si="20"/>
        <v>45533</v>
      </c>
      <c r="B522" t="s">
        <v>55</v>
      </c>
      <c r="C522" t="s">
        <v>15</v>
      </c>
      <c r="D522" t="s">
        <v>45</v>
      </c>
      <c r="E522">
        <v>200</v>
      </c>
      <c r="F522" s="55"/>
      <c r="G522">
        <f t="shared" si="21"/>
        <v>0</v>
      </c>
    </row>
    <row r="523" spans="1:7">
      <c r="A523" s="1">
        <f t="shared" si="20"/>
        <v>45534</v>
      </c>
      <c r="B523" t="s">
        <v>55</v>
      </c>
      <c r="C523" t="s">
        <v>15</v>
      </c>
      <c r="D523" t="s">
        <v>45</v>
      </c>
      <c r="E523">
        <v>200</v>
      </c>
      <c r="F523" s="55"/>
      <c r="G523">
        <f t="shared" si="21"/>
        <v>0</v>
      </c>
    </row>
    <row r="524" spans="1:7">
      <c r="A524" s="1">
        <f t="shared" si="20"/>
        <v>45535</v>
      </c>
      <c r="B524" t="s">
        <v>55</v>
      </c>
      <c r="C524" t="s">
        <v>15</v>
      </c>
      <c r="D524" t="s">
        <v>45</v>
      </c>
      <c r="E524">
        <v>200</v>
      </c>
      <c r="F524" s="55"/>
      <c r="G524">
        <f t="shared" si="21"/>
        <v>0</v>
      </c>
    </row>
    <row r="525" spans="1:7">
      <c r="A525" s="1">
        <v>45505</v>
      </c>
      <c r="B525" t="s">
        <v>55</v>
      </c>
      <c r="C525" t="s">
        <v>15</v>
      </c>
      <c r="D525" t="s">
        <v>46</v>
      </c>
      <c r="E525">
        <v>220</v>
      </c>
      <c r="F525" s="55">
        <v>0</v>
      </c>
      <c r="G525">
        <f t="shared" si="21"/>
        <v>0</v>
      </c>
    </row>
    <row r="526" spans="1:7">
      <c r="A526" s="1">
        <f>A525+1</f>
        <v>45506</v>
      </c>
      <c r="B526" t="s">
        <v>55</v>
      </c>
      <c r="C526" t="s">
        <v>15</v>
      </c>
      <c r="D526" t="s">
        <v>46</v>
      </c>
      <c r="E526">
        <v>220</v>
      </c>
      <c r="F526" s="55">
        <v>0</v>
      </c>
      <c r="G526">
        <f t="shared" si="21"/>
        <v>0</v>
      </c>
    </row>
    <row r="527" spans="1:7">
      <c r="A527" s="1">
        <f t="shared" ref="A527:A555" si="22">A526+1</f>
        <v>45507</v>
      </c>
      <c r="B527" t="s">
        <v>55</v>
      </c>
      <c r="C527" t="s">
        <v>15</v>
      </c>
      <c r="D527" t="s">
        <v>46</v>
      </c>
      <c r="E527">
        <v>220</v>
      </c>
      <c r="F527" s="55">
        <v>0</v>
      </c>
      <c r="G527">
        <f t="shared" si="21"/>
        <v>0</v>
      </c>
    </row>
    <row r="528" spans="1:7">
      <c r="A528" s="1">
        <f t="shared" si="22"/>
        <v>45508</v>
      </c>
      <c r="B528" t="s">
        <v>55</v>
      </c>
      <c r="C528" t="s">
        <v>15</v>
      </c>
      <c r="D528" t="s">
        <v>46</v>
      </c>
      <c r="E528">
        <v>220</v>
      </c>
      <c r="F528" s="55">
        <v>0</v>
      </c>
      <c r="G528">
        <f t="shared" si="21"/>
        <v>0</v>
      </c>
    </row>
    <row r="529" spans="1:7">
      <c r="A529" s="1">
        <f t="shared" si="22"/>
        <v>45509</v>
      </c>
      <c r="B529" t="s">
        <v>55</v>
      </c>
      <c r="C529" t="s">
        <v>15</v>
      </c>
      <c r="D529" t="s">
        <v>46</v>
      </c>
      <c r="E529">
        <v>220</v>
      </c>
      <c r="F529" s="55">
        <v>0</v>
      </c>
      <c r="G529">
        <f t="shared" si="21"/>
        <v>0</v>
      </c>
    </row>
    <row r="530" spans="1:7">
      <c r="A530" s="1">
        <f t="shared" si="22"/>
        <v>45510</v>
      </c>
      <c r="B530" t="s">
        <v>55</v>
      </c>
      <c r="C530" t="s">
        <v>15</v>
      </c>
      <c r="D530" t="s">
        <v>46</v>
      </c>
      <c r="E530">
        <v>220</v>
      </c>
      <c r="F530" s="55">
        <v>1</v>
      </c>
      <c r="G530">
        <f t="shared" si="21"/>
        <v>220</v>
      </c>
    </row>
    <row r="531" spans="1:7">
      <c r="A531" s="1">
        <f t="shared" si="22"/>
        <v>45511</v>
      </c>
      <c r="B531" t="s">
        <v>55</v>
      </c>
      <c r="C531" t="s">
        <v>15</v>
      </c>
      <c r="D531" t="s">
        <v>46</v>
      </c>
      <c r="E531">
        <v>220</v>
      </c>
      <c r="F531" s="55">
        <v>0</v>
      </c>
      <c r="G531">
        <f t="shared" si="21"/>
        <v>0</v>
      </c>
    </row>
    <row r="532" spans="1:7">
      <c r="A532" s="1">
        <f t="shared" si="22"/>
        <v>45512</v>
      </c>
      <c r="B532" t="s">
        <v>55</v>
      </c>
      <c r="C532" t="s">
        <v>15</v>
      </c>
      <c r="D532" t="s">
        <v>46</v>
      </c>
      <c r="E532">
        <v>220</v>
      </c>
      <c r="F532" s="55">
        <v>0</v>
      </c>
      <c r="G532">
        <f t="shared" si="21"/>
        <v>0</v>
      </c>
    </row>
    <row r="533" spans="1:7">
      <c r="A533" s="1">
        <f t="shared" si="22"/>
        <v>45513</v>
      </c>
      <c r="B533" t="s">
        <v>55</v>
      </c>
      <c r="C533" t="s">
        <v>15</v>
      </c>
      <c r="D533" t="s">
        <v>46</v>
      </c>
      <c r="E533">
        <v>220</v>
      </c>
      <c r="F533" s="55">
        <v>0</v>
      </c>
      <c r="G533">
        <f t="shared" si="21"/>
        <v>0</v>
      </c>
    </row>
    <row r="534" spans="1:7">
      <c r="A534" s="1">
        <f t="shared" si="22"/>
        <v>45514</v>
      </c>
      <c r="B534" t="s">
        <v>55</v>
      </c>
      <c r="C534" t="s">
        <v>15</v>
      </c>
      <c r="D534" t="s">
        <v>46</v>
      </c>
      <c r="E534">
        <v>220</v>
      </c>
      <c r="F534" s="55">
        <v>0</v>
      </c>
      <c r="G534">
        <f t="shared" si="21"/>
        <v>0</v>
      </c>
    </row>
    <row r="535" spans="1:7">
      <c r="A535" s="1">
        <f t="shared" si="22"/>
        <v>45515</v>
      </c>
      <c r="B535" t="s">
        <v>55</v>
      </c>
      <c r="C535" t="s">
        <v>15</v>
      </c>
      <c r="D535" t="s">
        <v>46</v>
      </c>
      <c r="E535">
        <v>220</v>
      </c>
      <c r="F535" s="55">
        <v>0</v>
      </c>
      <c r="G535">
        <f t="shared" si="21"/>
        <v>0</v>
      </c>
    </row>
    <row r="536" spans="1:7">
      <c r="A536" s="1">
        <f t="shared" si="22"/>
        <v>45516</v>
      </c>
      <c r="B536" t="s">
        <v>55</v>
      </c>
      <c r="C536" t="s">
        <v>15</v>
      </c>
      <c r="D536" t="s">
        <v>46</v>
      </c>
      <c r="E536">
        <v>220</v>
      </c>
      <c r="F536" s="55">
        <v>0</v>
      </c>
      <c r="G536">
        <f t="shared" si="21"/>
        <v>0</v>
      </c>
    </row>
    <row r="537" spans="1:7">
      <c r="A537" s="1">
        <f t="shared" si="22"/>
        <v>45517</v>
      </c>
      <c r="B537" t="s">
        <v>55</v>
      </c>
      <c r="C537" t="s">
        <v>15</v>
      </c>
      <c r="D537" t="s">
        <v>46</v>
      </c>
      <c r="E537">
        <v>220</v>
      </c>
      <c r="F537" s="55">
        <v>0</v>
      </c>
      <c r="G537">
        <f t="shared" si="21"/>
        <v>0</v>
      </c>
    </row>
    <row r="538" spans="1:7">
      <c r="A538" s="1">
        <f t="shared" si="22"/>
        <v>45518</v>
      </c>
      <c r="B538" t="s">
        <v>55</v>
      </c>
      <c r="C538" t="s">
        <v>15</v>
      </c>
      <c r="D538" t="s">
        <v>46</v>
      </c>
      <c r="E538">
        <v>220</v>
      </c>
      <c r="F538" s="55">
        <v>0</v>
      </c>
      <c r="G538">
        <f t="shared" si="21"/>
        <v>0</v>
      </c>
    </row>
    <row r="539" spans="1:7">
      <c r="A539" s="1">
        <f t="shared" si="22"/>
        <v>45519</v>
      </c>
      <c r="B539" t="s">
        <v>55</v>
      </c>
      <c r="C539" t="s">
        <v>15</v>
      </c>
      <c r="D539" t="s">
        <v>46</v>
      </c>
      <c r="E539">
        <v>220</v>
      </c>
      <c r="F539" s="55">
        <v>0</v>
      </c>
      <c r="G539">
        <f t="shared" si="21"/>
        <v>0</v>
      </c>
    </row>
    <row r="540" spans="1:7">
      <c r="A540" s="1">
        <f t="shared" si="22"/>
        <v>45520</v>
      </c>
      <c r="B540" t="s">
        <v>55</v>
      </c>
      <c r="C540" t="s">
        <v>15</v>
      </c>
      <c r="D540" t="s">
        <v>46</v>
      </c>
      <c r="E540">
        <v>220</v>
      </c>
      <c r="F540" s="55">
        <v>0</v>
      </c>
      <c r="G540">
        <f t="shared" si="21"/>
        <v>0</v>
      </c>
    </row>
    <row r="541" spans="1:7">
      <c r="A541" s="1">
        <f t="shared" si="22"/>
        <v>45521</v>
      </c>
      <c r="B541" t="s">
        <v>55</v>
      </c>
      <c r="C541" t="s">
        <v>15</v>
      </c>
      <c r="D541" t="s">
        <v>46</v>
      </c>
      <c r="E541">
        <v>220</v>
      </c>
      <c r="F541" s="55">
        <v>0</v>
      </c>
      <c r="G541">
        <f t="shared" si="21"/>
        <v>0</v>
      </c>
    </row>
    <row r="542" spans="1:7">
      <c r="A542" s="1">
        <f t="shared" si="22"/>
        <v>45522</v>
      </c>
      <c r="B542" t="s">
        <v>55</v>
      </c>
      <c r="C542" t="s">
        <v>15</v>
      </c>
      <c r="D542" t="s">
        <v>46</v>
      </c>
      <c r="E542">
        <v>220</v>
      </c>
      <c r="F542" s="55">
        <v>0</v>
      </c>
      <c r="G542">
        <f t="shared" si="21"/>
        <v>0</v>
      </c>
    </row>
    <row r="543" spans="1:7">
      <c r="A543" s="1">
        <f t="shared" si="22"/>
        <v>45523</v>
      </c>
      <c r="B543" t="s">
        <v>55</v>
      </c>
      <c r="C543" t="s">
        <v>15</v>
      </c>
      <c r="D543" t="s">
        <v>46</v>
      </c>
      <c r="E543">
        <v>220</v>
      </c>
      <c r="F543" s="55">
        <v>0</v>
      </c>
      <c r="G543">
        <f t="shared" si="21"/>
        <v>0</v>
      </c>
    </row>
    <row r="544" spans="1:7">
      <c r="A544" s="1">
        <f t="shared" si="22"/>
        <v>45524</v>
      </c>
      <c r="B544" t="s">
        <v>55</v>
      </c>
      <c r="C544" t="s">
        <v>15</v>
      </c>
      <c r="D544" t="s">
        <v>46</v>
      </c>
      <c r="E544">
        <v>220</v>
      </c>
      <c r="F544" s="55">
        <v>0</v>
      </c>
      <c r="G544">
        <f t="shared" si="21"/>
        <v>0</v>
      </c>
    </row>
    <row r="545" spans="1:7">
      <c r="A545" s="1">
        <f t="shared" si="22"/>
        <v>45525</v>
      </c>
      <c r="B545" t="s">
        <v>55</v>
      </c>
      <c r="C545" t="s">
        <v>15</v>
      </c>
      <c r="D545" t="s">
        <v>46</v>
      </c>
      <c r="E545">
        <v>220</v>
      </c>
      <c r="F545" s="55">
        <v>0</v>
      </c>
      <c r="G545">
        <f t="shared" si="21"/>
        <v>0</v>
      </c>
    </row>
    <row r="546" spans="1:7">
      <c r="A546" s="1">
        <f t="shared" si="22"/>
        <v>45526</v>
      </c>
      <c r="B546" t="s">
        <v>55</v>
      </c>
      <c r="C546" t="s">
        <v>15</v>
      </c>
      <c r="D546" t="s">
        <v>46</v>
      </c>
      <c r="E546">
        <v>220</v>
      </c>
      <c r="F546" s="55">
        <v>0</v>
      </c>
      <c r="G546">
        <f t="shared" si="21"/>
        <v>0</v>
      </c>
    </row>
    <row r="547" spans="1:7">
      <c r="A547" s="1">
        <f t="shared" si="22"/>
        <v>45527</v>
      </c>
      <c r="B547" t="s">
        <v>55</v>
      </c>
      <c r="C547" t="s">
        <v>15</v>
      </c>
      <c r="D547" t="s">
        <v>46</v>
      </c>
      <c r="E547">
        <v>220</v>
      </c>
      <c r="F547" s="55">
        <v>0</v>
      </c>
      <c r="G547">
        <f t="shared" si="21"/>
        <v>0</v>
      </c>
    </row>
    <row r="548" spans="1:7">
      <c r="A548" s="1">
        <f t="shared" si="22"/>
        <v>45528</v>
      </c>
      <c r="B548" t="s">
        <v>55</v>
      </c>
      <c r="C548" t="s">
        <v>15</v>
      </c>
      <c r="D548" t="s">
        <v>46</v>
      </c>
      <c r="E548">
        <v>220</v>
      </c>
      <c r="F548" s="55">
        <v>0</v>
      </c>
      <c r="G548">
        <f t="shared" si="21"/>
        <v>0</v>
      </c>
    </row>
    <row r="549" spans="1:7">
      <c r="A549" s="1">
        <f t="shared" si="22"/>
        <v>45529</v>
      </c>
      <c r="B549" t="s">
        <v>55</v>
      </c>
      <c r="C549" t="s">
        <v>15</v>
      </c>
      <c r="D549" t="s">
        <v>46</v>
      </c>
      <c r="E549">
        <v>220</v>
      </c>
      <c r="F549" s="55">
        <v>0</v>
      </c>
      <c r="G549">
        <f t="shared" si="21"/>
        <v>0</v>
      </c>
    </row>
    <row r="550" spans="1:7">
      <c r="A550" s="1">
        <f t="shared" si="22"/>
        <v>45530</v>
      </c>
      <c r="B550" t="s">
        <v>55</v>
      </c>
      <c r="C550" t="s">
        <v>15</v>
      </c>
      <c r="D550" t="s">
        <v>46</v>
      </c>
      <c r="E550">
        <v>220</v>
      </c>
      <c r="F550" s="55">
        <v>0</v>
      </c>
      <c r="G550">
        <f t="shared" si="21"/>
        <v>0</v>
      </c>
    </row>
    <row r="551" spans="1:7">
      <c r="A551" s="1">
        <f t="shared" si="22"/>
        <v>45531</v>
      </c>
      <c r="B551" t="s">
        <v>55</v>
      </c>
      <c r="C551" t="s">
        <v>15</v>
      </c>
      <c r="D551" t="s">
        <v>46</v>
      </c>
      <c r="E551">
        <v>220</v>
      </c>
      <c r="F551" s="55">
        <v>0</v>
      </c>
      <c r="G551">
        <f t="shared" si="21"/>
        <v>0</v>
      </c>
    </row>
    <row r="552" spans="1:7">
      <c r="A552" s="1">
        <f t="shared" si="22"/>
        <v>45532</v>
      </c>
      <c r="B552" t="s">
        <v>55</v>
      </c>
      <c r="C552" t="s">
        <v>15</v>
      </c>
      <c r="D552" t="s">
        <v>46</v>
      </c>
      <c r="E552">
        <v>220</v>
      </c>
      <c r="F552" s="55">
        <v>1</v>
      </c>
      <c r="G552">
        <f t="shared" si="21"/>
        <v>220</v>
      </c>
    </row>
    <row r="553" spans="1:7">
      <c r="A553" s="1">
        <f t="shared" si="22"/>
        <v>45533</v>
      </c>
      <c r="B553" t="s">
        <v>55</v>
      </c>
      <c r="C553" t="s">
        <v>15</v>
      </c>
      <c r="D553" t="s">
        <v>46</v>
      </c>
      <c r="E553">
        <v>220</v>
      </c>
      <c r="F553" s="55">
        <v>0</v>
      </c>
      <c r="G553">
        <f t="shared" si="21"/>
        <v>0</v>
      </c>
    </row>
    <row r="554" spans="1:7">
      <c r="A554" s="1">
        <f t="shared" si="22"/>
        <v>45534</v>
      </c>
      <c r="B554" t="s">
        <v>55</v>
      </c>
      <c r="C554" t="s">
        <v>15</v>
      </c>
      <c r="D554" t="s">
        <v>46</v>
      </c>
      <c r="E554">
        <v>220</v>
      </c>
      <c r="F554" s="55">
        <v>0</v>
      </c>
      <c r="G554">
        <f t="shared" si="21"/>
        <v>0</v>
      </c>
    </row>
    <row r="555" spans="1:7">
      <c r="A555" s="1">
        <f t="shared" si="22"/>
        <v>45535</v>
      </c>
      <c r="B555" t="s">
        <v>55</v>
      </c>
      <c r="C555" t="s">
        <v>15</v>
      </c>
      <c r="D555" t="s">
        <v>46</v>
      </c>
      <c r="E555">
        <v>220</v>
      </c>
      <c r="F555" s="55">
        <v>0</v>
      </c>
      <c r="G555">
        <f t="shared" si="21"/>
        <v>0</v>
      </c>
    </row>
    <row r="556" spans="1:7">
      <c r="A556" s="1">
        <v>45505</v>
      </c>
      <c r="B556" t="s">
        <v>55</v>
      </c>
      <c r="C556" t="s">
        <v>15</v>
      </c>
      <c r="D556" t="s">
        <v>47</v>
      </c>
      <c r="E556">
        <v>220</v>
      </c>
      <c r="F556" s="55">
        <v>0</v>
      </c>
      <c r="G556">
        <f t="shared" si="21"/>
        <v>0</v>
      </c>
    </row>
    <row r="557" spans="1:7">
      <c r="A557" s="1">
        <f>A556+1</f>
        <v>45506</v>
      </c>
      <c r="B557" t="s">
        <v>55</v>
      </c>
      <c r="C557" t="s">
        <v>15</v>
      </c>
      <c r="D557" t="s">
        <v>47</v>
      </c>
      <c r="E557">
        <v>220</v>
      </c>
      <c r="F557" s="55">
        <v>0</v>
      </c>
      <c r="G557">
        <f t="shared" si="21"/>
        <v>0</v>
      </c>
    </row>
    <row r="558" spans="1:7">
      <c r="A558" s="1">
        <f t="shared" ref="A558:A586" si="23">A557+1</f>
        <v>45507</v>
      </c>
      <c r="B558" t="s">
        <v>55</v>
      </c>
      <c r="C558" t="s">
        <v>15</v>
      </c>
      <c r="D558" t="s">
        <v>47</v>
      </c>
      <c r="E558">
        <v>220</v>
      </c>
      <c r="F558" s="55">
        <v>0</v>
      </c>
      <c r="G558">
        <f t="shared" si="21"/>
        <v>0</v>
      </c>
    </row>
    <row r="559" spans="1:7">
      <c r="A559" s="1">
        <f t="shared" si="23"/>
        <v>45508</v>
      </c>
      <c r="B559" t="s">
        <v>55</v>
      </c>
      <c r="C559" t="s">
        <v>15</v>
      </c>
      <c r="D559" t="s">
        <v>47</v>
      </c>
      <c r="E559">
        <v>220</v>
      </c>
      <c r="F559" s="55">
        <v>0</v>
      </c>
      <c r="G559">
        <f t="shared" si="21"/>
        <v>0</v>
      </c>
    </row>
    <row r="560" spans="1:7">
      <c r="A560" s="1">
        <f t="shared" si="23"/>
        <v>45509</v>
      </c>
      <c r="B560" t="s">
        <v>55</v>
      </c>
      <c r="C560" t="s">
        <v>15</v>
      </c>
      <c r="D560" t="s">
        <v>47</v>
      </c>
      <c r="E560">
        <v>220</v>
      </c>
      <c r="F560" s="55">
        <v>0</v>
      </c>
      <c r="G560">
        <f t="shared" si="21"/>
        <v>0</v>
      </c>
    </row>
    <row r="561" spans="1:7">
      <c r="A561" s="1">
        <f t="shared" si="23"/>
        <v>45510</v>
      </c>
      <c r="B561" t="s">
        <v>55</v>
      </c>
      <c r="C561" t="s">
        <v>15</v>
      </c>
      <c r="D561" t="s">
        <v>47</v>
      </c>
      <c r="E561">
        <v>220</v>
      </c>
      <c r="F561" s="55">
        <v>0</v>
      </c>
      <c r="G561">
        <f t="shared" si="21"/>
        <v>0</v>
      </c>
    </row>
    <row r="562" spans="1:7">
      <c r="A562" s="1">
        <f t="shared" si="23"/>
        <v>45511</v>
      </c>
      <c r="B562" t="s">
        <v>55</v>
      </c>
      <c r="C562" t="s">
        <v>15</v>
      </c>
      <c r="D562" t="s">
        <v>47</v>
      </c>
      <c r="E562">
        <v>220</v>
      </c>
      <c r="F562" s="55">
        <v>0</v>
      </c>
      <c r="G562">
        <f t="shared" si="21"/>
        <v>0</v>
      </c>
    </row>
    <row r="563" spans="1:7">
      <c r="A563" s="1">
        <f t="shared" si="23"/>
        <v>45512</v>
      </c>
      <c r="B563" t="s">
        <v>55</v>
      </c>
      <c r="C563" t="s">
        <v>15</v>
      </c>
      <c r="D563" t="s">
        <v>47</v>
      </c>
      <c r="E563">
        <v>220</v>
      </c>
      <c r="F563" s="55">
        <v>1</v>
      </c>
      <c r="G563">
        <f t="shared" si="21"/>
        <v>220</v>
      </c>
    </row>
    <row r="564" spans="1:7">
      <c r="A564" s="1">
        <f t="shared" si="23"/>
        <v>45513</v>
      </c>
      <c r="B564" t="s">
        <v>55</v>
      </c>
      <c r="C564" t="s">
        <v>15</v>
      </c>
      <c r="D564" t="s">
        <v>47</v>
      </c>
      <c r="E564">
        <v>220</v>
      </c>
      <c r="F564" s="55">
        <v>1</v>
      </c>
      <c r="G564">
        <f t="shared" si="21"/>
        <v>220</v>
      </c>
    </row>
    <row r="565" spans="1:7">
      <c r="A565" s="1">
        <f t="shared" si="23"/>
        <v>45514</v>
      </c>
      <c r="B565" t="s">
        <v>55</v>
      </c>
      <c r="C565" t="s">
        <v>15</v>
      </c>
      <c r="D565" t="s">
        <v>47</v>
      </c>
      <c r="E565">
        <v>220</v>
      </c>
      <c r="F565" s="55">
        <v>0</v>
      </c>
      <c r="G565">
        <f t="shared" si="21"/>
        <v>0</v>
      </c>
    </row>
    <row r="566" spans="1:7">
      <c r="A566" s="1">
        <f t="shared" si="23"/>
        <v>45515</v>
      </c>
      <c r="B566" t="s">
        <v>55</v>
      </c>
      <c r="C566" t="s">
        <v>15</v>
      </c>
      <c r="D566" t="s">
        <v>47</v>
      </c>
      <c r="E566">
        <v>220</v>
      </c>
      <c r="F566" s="55">
        <v>0</v>
      </c>
      <c r="G566">
        <f t="shared" si="21"/>
        <v>0</v>
      </c>
    </row>
    <row r="567" spans="1:7">
      <c r="A567" s="1">
        <f t="shared" si="23"/>
        <v>45516</v>
      </c>
      <c r="B567" t="s">
        <v>55</v>
      </c>
      <c r="C567" t="s">
        <v>15</v>
      </c>
      <c r="D567" t="s">
        <v>47</v>
      </c>
      <c r="E567">
        <v>220</v>
      </c>
      <c r="F567" s="55">
        <v>0</v>
      </c>
      <c r="G567">
        <f t="shared" si="21"/>
        <v>0</v>
      </c>
    </row>
    <row r="568" spans="1:7">
      <c r="A568" s="1">
        <f t="shared" si="23"/>
        <v>45517</v>
      </c>
      <c r="B568" t="s">
        <v>55</v>
      </c>
      <c r="C568" t="s">
        <v>15</v>
      </c>
      <c r="D568" t="s">
        <v>47</v>
      </c>
      <c r="E568">
        <v>220</v>
      </c>
      <c r="F568" s="55">
        <v>0</v>
      </c>
      <c r="G568">
        <f t="shared" si="21"/>
        <v>0</v>
      </c>
    </row>
    <row r="569" spans="1:7">
      <c r="A569" s="1">
        <f t="shared" si="23"/>
        <v>45518</v>
      </c>
      <c r="B569" t="s">
        <v>55</v>
      </c>
      <c r="C569" t="s">
        <v>15</v>
      </c>
      <c r="D569" t="s">
        <v>47</v>
      </c>
      <c r="E569">
        <v>220</v>
      </c>
      <c r="F569" s="55">
        <v>0</v>
      </c>
      <c r="G569">
        <f t="shared" si="21"/>
        <v>0</v>
      </c>
    </row>
    <row r="570" spans="1:7">
      <c r="A570" s="1">
        <f t="shared" si="23"/>
        <v>45519</v>
      </c>
      <c r="B570" t="s">
        <v>55</v>
      </c>
      <c r="C570" t="s">
        <v>15</v>
      </c>
      <c r="D570" t="s">
        <v>47</v>
      </c>
      <c r="E570">
        <v>220</v>
      </c>
      <c r="F570" s="55">
        <v>0</v>
      </c>
      <c r="G570">
        <f t="shared" si="21"/>
        <v>0</v>
      </c>
    </row>
    <row r="571" spans="1:7">
      <c r="A571" s="1">
        <f t="shared" si="23"/>
        <v>45520</v>
      </c>
      <c r="B571" t="s">
        <v>55</v>
      </c>
      <c r="C571" t="s">
        <v>15</v>
      </c>
      <c r="D571" t="s">
        <v>47</v>
      </c>
      <c r="E571">
        <v>220</v>
      </c>
      <c r="F571" s="55">
        <v>0</v>
      </c>
      <c r="G571">
        <f t="shared" si="21"/>
        <v>0</v>
      </c>
    </row>
    <row r="572" spans="1:7">
      <c r="A572" s="1">
        <f t="shared" si="23"/>
        <v>45521</v>
      </c>
      <c r="B572" t="s">
        <v>55</v>
      </c>
      <c r="C572" t="s">
        <v>15</v>
      </c>
      <c r="D572" t="s">
        <v>47</v>
      </c>
      <c r="E572">
        <v>220</v>
      </c>
      <c r="F572" s="55">
        <v>0</v>
      </c>
      <c r="G572">
        <f t="shared" si="21"/>
        <v>0</v>
      </c>
    </row>
    <row r="573" spans="1:7">
      <c r="A573" s="1">
        <f t="shared" si="23"/>
        <v>45522</v>
      </c>
      <c r="B573" t="s">
        <v>55</v>
      </c>
      <c r="C573" t="s">
        <v>15</v>
      </c>
      <c r="D573" t="s">
        <v>47</v>
      </c>
      <c r="E573">
        <v>220</v>
      </c>
      <c r="F573" s="55">
        <v>0</v>
      </c>
      <c r="G573">
        <f t="shared" si="21"/>
        <v>0</v>
      </c>
    </row>
    <row r="574" spans="1:7">
      <c r="A574" s="1">
        <f t="shared" si="23"/>
        <v>45523</v>
      </c>
      <c r="B574" t="s">
        <v>55</v>
      </c>
      <c r="C574" t="s">
        <v>15</v>
      </c>
      <c r="D574" t="s">
        <v>47</v>
      </c>
      <c r="E574">
        <v>220</v>
      </c>
      <c r="F574" s="55">
        <v>0</v>
      </c>
      <c r="G574">
        <f t="shared" si="21"/>
        <v>0</v>
      </c>
    </row>
    <row r="575" spans="1:7">
      <c r="A575" s="1">
        <f t="shared" si="23"/>
        <v>45524</v>
      </c>
      <c r="B575" t="s">
        <v>55</v>
      </c>
      <c r="C575" t="s">
        <v>15</v>
      </c>
      <c r="D575" t="s">
        <v>47</v>
      </c>
      <c r="E575">
        <v>220</v>
      </c>
      <c r="F575" s="55">
        <v>0</v>
      </c>
      <c r="G575">
        <f t="shared" si="21"/>
        <v>0</v>
      </c>
    </row>
    <row r="576" spans="1:7">
      <c r="A576" s="1">
        <f t="shared" si="23"/>
        <v>45525</v>
      </c>
      <c r="B576" t="s">
        <v>55</v>
      </c>
      <c r="C576" t="s">
        <v>15</v>
      </c>
      <c r="D576" t="s">
        <v>47</v>
      </c>
      <c r="E576">
        <v>220</v>
      </c>
      <c r="F576" s="55">
        <v>0</v>
      </c>
      <c r="G576">
        <f t="shared" si="21"/>
        <v>0</v>
      </c>
    </row>
    <row r="577" spans="1:7">
      <c r="A577" s="1">
        <f t="shared" si="23"/>
        <v>45526</v>
      </c>
      <c r="B577" t="s">
        <v>55</v>
      </c>
      <c r="C577" t="s">
        <v>15</v>
      </c>
      <c r="D577" t="s">
        <v>47</v>
      </c>
      <c r="E577">
        <v>220</v>
      </c>
      <c r="F577" s="55">
        <v>0</v>
      </c>
      <c r="G577">
        <f t="shared" si="21"/>
        <v>0</v>
      </c>
    </row>
    <row r="578" spans="1:7">
      <c r="A578" s="1">
        <f t="shared" si="23"/>
        <v>45527</v>
      </c>
      <c r="B578" t="s">
        <v>55</v>
      </c>
      <c r="C578" t="s">
        <v>15</v>
      </c>
      <c r="D578" t="s">
        <v>47</v>
      </c>
      <c r="E578">
        <v>220</v>
      </c>
      <c r="F578" s="55">
        <v>0</v>
      </c>
      <c r="G578">
        <f t="shared" si="21"/>
        <v>0</v>
      </c>
    </row>
    <row r="579" spans="1:7">
      <c r="A579" s="1">
        <f t="shared" si="23"/>
        <v>45528</v>
      </c>
      <c r="B579" t="s">
        <v>55</v>
      </c>
      <c r="C579" t="s">
        <v>15</v>
      </c>
      <c r="D579" t="s">
        <v>47</v>
      </c>
      <c r="E579">
        <v>220</v>
      </c>
      <c r="F579" s="55">
        <v>0</v>
      </c>
      <c r="G579">
        <f t="shared" ref="G579:G642" si="24">F579*E579</f>
        <v>0</v>
      </c>
    </row>
    <row r="580" spans="1:7">
      <c r="A580" s="1">
        <f t="shared" si="23"/>
        <v>45529</v>
      </c>
      <c r="B580" t="s">
        <v>55</v>
      </c>
      <c r="C580" t="s">
        <v>15</v>
      </c>
      <c r="D580" t="s">
        <v>47</v>
      </c>
      <c r="E580">
        <v>220</v>
      </c>
      <c r="F580" s="55">
        <v>0</v>
      </c>
      <c r="G580">
        <f t="shared" si="24"/>
        <v>0</v>
      </c>
    </row>
    <row r="581" spans="1:7">
      <c r="A581" s="1">
        <f t="shared" si="23"/>
        <v>45530</v>
      </c>
      <c r="B581" t="s">
        <v>55</v>
      </c>
      <c r="C581" t="s">
        <v>15</v>
      </c>
      <c r="D581" t="s">
        <v>47</v>
      </c>
      <c r="E581">
        <v>220</v>
      </c>
      <c r="F581" s="55">
        <v>0</v>
      </c>
      <c r="G581">
        <f t="shared" si="24"/>
        <v>0</v>
      </c>
    </row>
    <row r="582" spans="1:7">
      <c r="A582" s="1">
        <f t="shared" si="23"/>
        <v>45531</v>
      </c>
      <c r="B582" t="s">
        <v>55</v>
      </c>
      <c r="C582" t="s">
        <v>15</v>
      </c>
      <c r="D582" t="s">
        <v>47</v>
      </c>
      <c r="E582">
        <v>220</v>
      </c>
      <c r="F582" s="55">
        <v>0</v>
      </c>
      <c r="G582">
        <f t="shared" si="24"/>
        <v>0</v>
      </c>
    </row>
    <row r="583" spans="1:7">
      <c r="A583" s="1">
        <f t="shared" si="23"/>
        <v>45532</v>
      </c>
      <c r="B583" t="s">
        <v>55</v>
      </c>
      <c r="C583" t="s">
        <v>15</v>
      </c>
      <c r="D583" t="s">
        <v>47</v>
      </c>
      <c r="E583">
        <v>220</v>
      </c>
      <c r="F583" s="55">
        <v>0</v>
      </c>
      <c r="G583">
        <f t="shared" si="24"/>
        <v>0</v>
      </c>
    </row>
    <row r="584" spans="1:7">
      <c r="A584" s="1">
        <f t="shared" si="23"/>
        <v>45533</v>
      </c>
      <c r="B584" t="s">
        <v>55</v>
      </c>
      <c r="C584" t="s">
        <v>15</v>
      </c>
      <c r="D584" t="s">
        <v>47</v>
      </c>
      <c r="E584">
        <v>220</v>
      </c>
      <c r="F584" s="55">
        <v>0</v>
      </c>
      <c r="G584">
        <f t="shared" si="24"/>
        <v>0</v>
      </c>
    </row>
    <row r="585" spans="1:7">
      <c r="A585" s="1">
        <f t="shared" si="23"/>
        <v>45534</v>
      </c>
      <c r="B585" t="s">
        <v>55</v>
      </c>
      <c r="C585" t="s">
        <v>15</v>
      </c>
      <c r="D585" t="s">
        <v>47</v>
      </c>
      <c r="E585">
        <v>220</v>
      </c>
      <c r="F585" s="55">
        <v>0</v>
      </c>
      <c r="G585">
        <f t="shared" si="24"/>
        <v>0</v>
      </c>
    </row>
    <row r="586" spans="1:7">
      <c r="A586" s="1">
        <f t="shared" si="23"/>
        <v>45535</v>
      </c>
      <c r="B586" t="s">
        <v>55</v>
      </c>
      <c r="C586" t="s">
        <v>15</v>
      </c>
      <c r="D586" t="s">
        <v>47</v>
      </c>
      <c r="E586">
        <v>220</v>
      </c>
      <c r="F586" s="55">
        <v>0</v>
      </c>
      <c r="G586">
        <f t="shared" si="24"/>
        <v>0</v>
      </c>
    </row>
    <row r="587" spans="1:7">
      <c r="A587" s="1">
        <v>45505</v>
      </c>
      <c r="B587" t="s">
        <v>55</v>
      </c>
      <c r="C587" t="s">
        <v>15</v>
      </c>
      <c r="D587" t="s">
        <v>48</v>
      </c>
      <c r="E587">
        <v>220</v>
      </c>
      <c r="F587" s="55">
        <v>0</v>
      </c>
      <c r="G587">
        <f t="shared" si="24"/>
        <v>0</v>
      </c>
    </row>
    <row r="588" spans="1:7">
      <c r="A588" s="1">
        <f>A587+1</f>
        <v>45506</v>
      </c>
      <c r="B588" t="s">
        <v>55</v>
      </c>
      <c r="C588" t="s">
        <v>15</v>
      </c>
      <c r="D588" t="s">
        <v>48</v>
      </c>
      <c r="E588">
        <v>220</v>
      </c>
      <c r="F588" s="55">
        <v>0</v>
      </c>
      <c r="G588">
        <f t="shared" si="24"/>
        <v>0</v>
      </c>
    </row>
    <row r="589" spans="1:7">
      <c r="A589" s="1">
        <f t="shared" ref="A589:A617" si="25">A588+1</f>
        <v>45507</v>
      </c>
      <c r="B589" t="s">
        <v>55</v>
      </c>
      <c r="C589" t="s">
        <v>15</v>
      </c>
      <c r="D589" t="s">
        <v>48</v>
      </c>
      <c r="E589">
        <v>220</v>
      </c>
      <c r="F589" s="55">
        <v>0</v>
      </c>
      <c r="G589">
        <f t="shared" si="24"/>
        <v>0</v>
      </c>
    </row>
    <row r="590" spans="1:7">
      <c r="A590" s="1">
        <f t="shared" si="25"/>
        <v>45508</v>
      </c>
      <c r="B590" t="s">
        <v>55</v>
      </c>
      <c r="C590" t="s">
        <v>15</v>
      </c>
      <c r="D590" t="s">
        <v>48</v>
      </c>
      <c r="E590">
        <v>220</v>
      </c>
      <c r="F590" s="55">
        <v>0</v>
      </c>
      <c r="G590">
        <f t="shared" si="24"/>
        <v>0</v>
      </c>
    </row>
    <row r="591" spans="1:7">
      <c r="A591" s="1">
        <f t="shared" si="25"/>
        <v>45509</v>
      </c>
      <c r="B591" t="s">
        <v>55</v>
      </c>
      <c r="C591" t="s">
        <v>15</v>
      </c>
      <c r="D591" t="s">
        <v>48</v>
      </c>
      <c r="E591">
        <v>220</v>
      </c>
      <c r="F591" s="55">
        <v>0</v>
      </c>
      <c r="G591">
        <f t="shared" si="24"/>
        <v>0</v>
      </c>
    </row>
    <row r="592" spans="1:7">
      <c r="A592" s="1">
        <f t="shared" si="25"/>
        <v>45510</v>
      </c>
      <c r="B592" t="s">
        <v>55</v>
      </c>
      <c r="C592" t="s">
        <v>15</v>
      </c>
      <c r="D592" t="s">
        <v>48</v>
      </c>
      <c r="E592">
        <v>220</v>
      </c>
      <c r="F592" s="55">
        <v>0</v>
      </c>
      <c r="G592">
        <f t="shared" si="24"/>
        <v>0</v>
      </c>
    </row>
    <row r="593" spans="1:7">
      <c r="A593" s="1">
        <f t="shared" si="25"/>
        <v>45511</v>
      </c>
      <c r="B593" t="s">
        <v>55</v>
      </c>
      <c r="C593" t="s">
        <v>15</v>
      </c>
      <c r="D593" t="s">
        <v>48</v>
      </c>
      <c r="E593">
        <v>220</v>
      </c>
      <c r="F593" s="55">
        <v>0</v>
      </c>
      <c r="G593">
        <f t="shared" si="24"/>
        <v>0</v>
      </c>
    </row>
    <row r="594" spans="1:7">
      <c r="A594" s="1">
        <f t="shared" si="25"/>
        <v>45512</v>
      </c>
      <c r="B594" t="s">
        <v>55</v>
      </c>
      <c r="C594" t="s">
        <v>15</v>
      </c>
      <c r="D594" t="s">
        <v>48</v>
      </c>
      <c r="E594">
        <v>220</v>
      </c>
      <c r="F594" s="55">
        <v>1</v>
      </c>
      <c r="G594">
        <f t="shared" si="24"/>
        <v>220</v>
      </c>
    </row>
    <row r="595" spans="1:7">
      <c r="A595" s="1">
        <f t="shared" si="25"/>
        <v>45513</v>
      </c>
      <c r="B595" t="s">
        <v>55</v>
      </c>
      <c r="C595" t="s">
        <v>15</v>
      </c>
      <c r="D595" t="s">
        <v>48</v>
      </c>
      <c r="E595">
        <v>220</v>
      </c>
      <c r="F595" s="55">
        <v>1</v>
      </c>
      <c r="G595">
        <f t="shared" si="24"/>
        <v>220</v>
      </c>
    </row>
    <row r="596" spans="1:7">
      <c r="A596" s="1">
        <f t="shared" si="25"/>
        <v>45514</v>
      </c>
      <c r="B596" t="s">
        <v>55</v>
      </c>
      <c r="C596" t="s">
        <v>15</v>
      </c>
      <c r="D596" t="s">
        <v>48</v>
      </c>
      <c r="E596">
        <v>220</v>
      </c>
      <c r="F596" s="55">
        <v>0</v>
      </c>
      <c r="G596">
        <f t="shared" si="24"/>
        <v>0</v>
      </c>
    </row>
    <row r="597" spans="1:7">
      <c r="A597" s="1">
        <f t="shared" si="25"/>
        <v>45515</v>
      </c>
      <c r="B597" t="s">
        <v>55</v>
      </c>
      <c r="C597" t="s">
        <v>15</v>
      </c>
      <c r="D597" t="s">
        <v>48</v>
      </c>
      <c r="E597">
        <v>220</v>
      </c>
      <c r="F597" s="55">
        <v>0</v>
      </c>
      <c r="G597">
        <f t="shared" si="24"/>
        <v>0</v>
      </c>
    </row>
    <row r="598" spans="1:7">
      <c r="A598" s="1">
        <f t="shared" si="25"/>
        <v>45516</v>
      </c>
      <c r="B598" t="s">
        <v>55</v>
      </c>
      <c r="C598" t="s">
        <v>15</v>
      </c>
      <c r="D598" t="s">
        <v>48</v>
      </c>
      <c r="E598">
        <v>220</v>
      </c>
      <c r="F598" s="55">
        <v>0</v>
      </c>
      <c r="G598">
        <f t="shared" si="24"/>
        <v>0</v>
      </c>
    </row>
    <row r="599" spans="1:7">
      <c r="A599" s="1">
        <f t="shared" si="25"/>
        <v>45517</v>
      </c>
      <c r="B599" t="s">
        <v>55</v>
      </c>
      <c r="C599" t="s">
        <v>15</v>
      </c>
      <c r="D599" t="s">
        <v>48</v>
      </c>
      <c r="E599">
        <v>220</v>
      </c>
      <c r="F599" s="55">
        <v>0</v>
      </c>
      <c r="G599">
        <f t="shared" si="24"/>
        <v>0</v>
      </c>
    </row>
    <row r="600" spans="1:7">
      <c r="A600" s="1">
        <f t="shared" si="25"/>
        <v>45518</v>
      </c>
      <c r="B600" t="s">
        <v>55</v>
      </c>
      <c r="C600" t="s">
        <v>15</v>
      </c>
      <c r="D600" t="s">
        <v>48</v>
      </c>
      <c r="E600">
        <v>220</v>
      </c>
      <c r="F600" s="55">
        <v>0</v>
      </c>
      <c r="G600">
        <f t="shared" si="24"/>
        <v>0</v>
      </c>
    </row>
    <row r="601" spans="1:7">
      <c r="A601" s="1">
        <f t="shared" si="25"/>
        <v>45519</v>
      </c>
      <c r="B601" t="s">
        <v>55</v>
      </c>
      <c r="C601" t="s">
        <v>15</v>
      </c>
      <c r="D601" t="s">
        <v>48</v>
      </c>
      <c r="E601">
        <v>220</v>
      </c>
      <c r="F601" s="55">
        <v>0</v>
      </c>
      <c r="G601">
        <f t="shared" si="24"/>
        <v>0</v>
      </c>
    </row>
    <row r="602" spans="1:7">
      <c r="A602" s="1">
        <f t="shared" si="25"/>
        <v>45520</v>
      </c>
      <c r="B602" t="s">
        <v>55</v>
      </c>
      <c r="C602" t="s">
        <v>15</v>
      </c>
      <c r="D602" t="s">
        <v>48</v>
      </c>
      <c r="E602">
        <v>220</v>
      </c>
      <c r="F602" s="55">
        <v>0</v>
      </c>
      <c r="G602">
        <f t="shared" si="24"/>
        <v>0</v>
      </c>
    </row>
    <row r="603" spans="1:7">
      <c r="A603" s="1">
        <f t="shared" si="25"/>
        <v>45521</v>
      </c>
      <c r="B603" t="s">
        <v>55</v>
      </c>
      <c r="C603" t="s">
        <v>15</v>
      </c>
      <c r="D603" t="s">
        <v>48</v>
      </c>
      <c r="E603">
        <v>220</v>
      </c>
      <c r="F603" s="55">
        <v>0</v>
      </c>
      <c r="G603">
        <f t="shared" si="24"/>
        <v>0</v>
      </c>
    </row>
    <row r="604" spans="1:7">
      <c r="A604" s="1">
        <f t="shared" si="25"/>
        <v>45522</v>
      </c>
      <c r="B604" t="s">
        <v>55</v>
      </c>
      <c r="C604" t="s">
        <v>15</v>
      </c>
      <c r="D604" t="s">
        <v>48</v>
      </c>
      <c r="E604">
        <v>220</v>
      </c>
      <c r="F604" s="55">
        <v>0</v>
      </c>
      <c r="G604">
        <f t="shared" si="24"/>
        <v>0</v>
      </c>
    </row>
    <row r="605" spans="1:7">
      <c r="A605" s="1">
        <f t="shared" si="25"/>
        <v>45523</v>
      </c>
      <c r="B605" t="s">
        <v>55</v>
      </c>
      <c r="C605" t="s">
        <v>15</v>
      </c>
      <c r="D605" t="s">
        <v>48</v>
      </c>
      <c r="E605">
        <v>220</v>
      </c>
      <c r="F605" s="55">
        <v>0</v>
      </c>
      <c r="G605">
        <f t="shared" si="24"/>
        <v>0</v>
      </c>
    </row>
    <row r="606" spans="1:7">
      <c r="A606" s="1">
        <f t="shared" si="25"/>
        <v>45524</v>
      </c>
      <c r="B606" t="s">
        <v>55</v>
      </c>
      <c r="C606" t="s">
        <v>15</v>
      </c>
      <c r="D606" t="s">
        <v>48</v>
      </c>
      <c r="E606">
        <v>220</v>
      </c>
      <c r="F606" s="55">
        <v>0</v>
      </c>
      <c r="G606">
        <f t="shared" si="24"/>
        <v>0</v>
      </c>
    </row>
    <row r="607" spans="1:7">
      <c r="A607" s="1">
        <f t="shared" si="25"/>
        <v>45525</v>
      </c>
      <c r="B607" t="s">
        <v>55</v>
      </c>
      <c r="C607" t="s">
        <v>15</v>
      </c>
      <c r="D607" t="s">
        <v>48</v>
      </c>
      <c r="E607">
        <v>220</v>
      </c>
      <c r="F607" s="55">
        <v>0</v>
      </c>
      <c r="G607">
        <f t="shared" si="24"/>
        <v>0</v>
      </c>
    </row>
    <row r="608" spans="1:7">
      <c r="A608" s="1">
        <f t="shared" si="25"/>
        <v>45526</v>
      </c>
      <c r="B608" t="s">
        <v>55</v>
      </c>
      <c r="C608" t="s">
        <v>15</v>
      </c>
      <c r="D608" t="s">
        <v>48</v>
      </c>
      <c r="E608">
        <v>220</v>
      </c>
      <c r="F608" s="55">
        <v>0</v>
      </c>
      <c r="G608">
        <f t="shared" si="24"/>
        <v>0</v>
      </c>
    </row>
    <row r="609" spans="1:7">
      <c r="A609" s="1">
        <f t="shared" si="25"/>
        <v>45527</v>
      </c>
      <c r="B609" t="s">
        <v>55</v>
      </c>
      <c r="C609" t="s">
        <v>15</v>
      </c>
      <c r="D609" t="s">
        <v>48</v>
      </c>
      <c r="E609">
        <v>220</v>
      </c>
      <c r="F609" s="55">
        <v>0</v>
      </c>
      <c r="G609">
        <f t="shared" si="24"/>
        <v>0</v>
      </c>
    </row>
    <row r="610" spans="1:7">
      <c r="A610" s="1">
        <f t="shared" si="25"/>
        <v>45528</v>
      </c>
      <c r="B610" t="s">
        <v>55</v>
      </c>
      <c r="C610" t="s">
        <v>15</v>
      </c>
      <c r="D610" t="s">
        <v>48</v>
      </c>
      <c r="E610">
        <v>220</v>
      </c>
      <c r="F610" s="55">
        <v>0</v>
      </c>
      <c r="G610">
        <f t="shared" si="24"/>
        <v>0</v>
      </c>
    </row>
    <row r="611" spans="1:7">
      <c r="A611" s="1">
        <f t="shared" si="25"/>
        <v>45529</v>
      </c>
      <c r="B611" t="s">
        <v>55</v>
      </c>
      <c r="C611" t="s">
        <v>15</v>
      </c>
      <c r="D611" t="s">
        <v>48</v>
      </c>
      <c r="E611">
        <v>220</v>
      </c>
      <c r="F611" s="55">
        <v>0</v>
      </c>
      <c r="G611">
        <f t="shared" si="24"/>
        <v>0</v>
      </c>
    </row>
    <row r="612" spans="1:7">
      <c r="A612" s="1">
        <f t="shared" si="25"/>
        <v>45530</v>
      </c>
      <c r="B612" t="s">
        <v>55</v>
      </c>
      <c r="C612" t="s">
        <v>15</v>
      </c>
      <c r="D612" t="s">
        <v>48</v>
      </c>
      <c r="E612">
        <v>220</v>
      </c>
      <c r="F612" s="55">
        <v>0</v>
      </c>
      <c r="G612">
        <f t="shared" si="24"/>
        <v>0</v>
      </c>
    </row>
    <row r="613" spans="1:7">
      <c r="A613" s="1">
        <f t="shared" si="25"/>
        <v>45531</v>
      </c>
      <c r="B613" t="s">
        <v>55</v>
      </c>
      <c r="C613" t="s">
        <v>15</v>
      </c>
      <c r="D613" t="s">
        <v>48</v>
      </c>
      <c r="E613">
        <v>220</v>
      </c>
      <c r="F613" s="55">
        <v>0</v>
      </c>
      <c r="G613">
        <f t="shared" si="24"/>
        <v>0</v>
      </c>
    </row>
    <row r="614" spans="1:7">
      <c r="A614" s="1">
        <f t="shared" si="25"/>
        <v>45532</v>
      </c>
      <c r="B614" t="s">
        <v>55</v>
      </c>
      <c r="C614" t="s">
        <v>15</v>
      </c>
      <c r="D614" t="s">
        <v>48</v>
      </c>
      <c r="E614">
        <v>220</v>
      </c>
      <c r="F614" s="55">
        <v>0</v>
      </c>
      <c r="G614">
        <f t="shared" si="24"/>
        <v>0</v>
      </c>
    </row>
    <row r="615" spans="1:7">
      <c r="A615" s="1">
        <f t="shared" si="25"/>
        <v>45533</v>
      </c>
      <c r="B615" t="s">
        <v>55</v>
      </c>
      <c r="C615" t="s">
        <v>15</v>
      </c>
      <c r="D615" t="s">
        <v>48</v>
      </c>
      <c r="E615">
        <v>220</v>
      </c>
      <c r="F615" s="55">
        <v>0</v>
      </c>
      <c r="G615">
        <f t="shared" si="24"/>
        <v>0</v>
      </c>
    </row>
    <row r="616" spans="1:7">
      <c r="A616" s="1">
        <f t="shared" si="25"/>
        <v>45534</v>
      </c>
      <c r="B616" t="s">
        <v>55</v>
      </c>
      <c r="C616" t="s">
        <v>15</v>
      </c>
      <c r="D616" t="s">
        <v>48</v>
      </c>
      <c r="E616">
        <v>220</v>
      </c>
      <c r="F616" s="55">
        <v>0</v>
      </c>
      <c r="G616">
        <f t="shared" si="24"/>
        <v>0</v>
      </c>
    </row>
    <row r="617" spans="1:7">
      <c r="A617" s="1">
        <f t="shared" si="25"/>
        <v>45535</v>
      </c>
      <c r="B617" t="s">
        <v>55</v>
      </c>
      <c r="C617" t="s">
        <v>15</v>
      </c>
      <c r="D617" t="s">
        <v>48</v>
      </c>
      <c r="E617">
        <v>220</v>
      </c>
      <c r="F617" s="55">
        <v>0</v>
      </c>
      <c r="G617">
        <f t="shared" si="24"/>
        <v>0</v>
      </c>
    </row>
    <row r="618" spans="1:7">
      <c r="A618" s="1">
        <v>45505</v>
      </c>
      <c r="B618" t="s">
        <v>55</v>
      </c>
      <c r="C618" t="s">
        <v>15</v>
      </c>
      <c r="D618" t="s">
        <v>49</v>
      </c>
      <c r="E618">
        <v>720</v>
      </c>
      <c r="F618" s="55">
        <v>1</v>
      </c>
      <c r="G618">
        <f t="shared" si="24"/>
        <v>720</v>
      </c>
    </row>
    <row r="619" spans="1:7">
      <c r="A619" s="1">
        <f>A618+1</f>
        <v>45506</v>
      </c>
      <c r="B619" t="s">
        <v>55</v>
      </c>
      <c r="C619" t="s">
        <v>15</v>
      </c>
      <c r="D619" t="s">
        <v>49</v>
      </c>
      <c r="E619">
        <v>720</v>
      </c>
      <c r="F619" s="55">
        <v>1</v>
      </c>
      <c r="G619">
        <f t="shared" si="24"/>
        <v>720</v>
      </c>
    </row>
    <row r="620" spans="1:7">
      <c r="A620" s="1">
        <f t="shared" ref="A620:A648" si="26">A619+1</f>
        <v>45507</v>
      </c>
      <c r="B620" t="s">
        <v>55</v>
      </c>
      <c r="C620" t="s">
        <v>15</v>
      </c>
      <c r="D620" t="s">
        <v>49</v>
      </c>
      <c r="E620">
        <v>720</v>
      </c>
      <c r="F620" s="55">
        <v>0</v>
      </c>
      <c r="G620">
        <f t="shared" si="24"/>
        <v>0</v>
      </c>
    </row>
    <row r="621" spans="1:7">
      <c r="A621" s="1">
        <f t="shared" si="26"/>
        <v>45508</v>
      </c>
      <c r="B621" t="s">
        <v>55</v>
      </c>
      <c r="C621" t="s">
        <v>15</v>
      </c>
      <c r="D621" t="s">
        <v>49</v>
      </c>
      <c r="E621">
        <v>720</v>
      </c>
      <c r="F621" s="55">
        <v>0</v>
      </c>
      <c r="G621">
        <f t="shared" si="24"/>
        <v>0</v>
      </c>
    </row>
    <row r="622" spans="1:7">
      <c r="A622" s="1">
        <f t="shared" si="26"/>
        <v>45509</v>
      </c>
      <c r="B622" t="s">
        <v>55</v>
      </c>
      <c r="C622" t="s">
        <v>15</v>
      </c>
      <c r="D622" t="s">
        <v>49</v>
      </c>
      <c r="E622">
        <v>720</v>
      </c>
      <c r="F622" s="55">
        <v>0</v>
      </c>
      <c r="G622">
        <f t="shared" si="24"/>
        <v>0</v>
      </c>
    </row>
    <row r="623" spans="1:7">
      <c r="A623" s="1">
        <f t="shared" si="26"/>
        <v>45510</v>
      </c>
      <c r="B623" t="s">
        <v>55</v>
      </c>
      <c r="C623" t="s">
        <v>15</v>
      </c>
      <c r="D623" t="s">
        <v>49</v>
      </c>
      <c r="E623">
        <v>720</v>
      </c>
      <c r="F623" s="55">
        <v>1</v>
      </c>
      <c r="G623">
        <f t="shared" si="24"/>
        <v>720</v>
      </c>
    </row>
    <row r="624" spans="1:7">
      <c r="A624" s="1">
        <f t="shared" si="26"/>
        <v>45511</v>
      </c>
      <c r="B624" t="s">
        <v>55</v>
      </c>
      <c r="C624" t="s">
        <v>15</v>
      </c>
      <c r="D624" t="s">
        <v>49</v>
      </c>
      <c r="E624">
        <v>720</v>
      </c>
      <c r="F624" s="55">
        <v>0</v>
      </c>
      <c r="G624">
        <f t="shared" si="24"/>
        <v>0</v>
      </c>
    </row>
    <row r="625" spans="1:7">
      <c r="A625" s="1">
        <f t="shared" si="26"/>
        <v>45512</v>
      </c>
      <c r="B625" t="s">
        <v>55</v>
      </c>
      <c r="C625" t="s">
        <v>15</v>
      </c>
      <c r="D625" t="s">
        <v>49</v>
      </c>
      <c r="E625">
        <v>720</v>
      </c>
      <c r="F625" s="55">
        <v>1</v>
      </c>
      <c r="G625">
        <f t="shared" si="24"/>
        <v>720</v>
      </c>
    </row>
    <row r="626" spans="1:7">
      <c r="A626" s="1">
        <f t="shared" si="26"/>
        <v>45513</v>
      </c>
      <c r="B626" t="s">
        <v>55</v>
      </c>
      <c r="C626" t="s">
        <v>15</v>
      </c>
      <c r="D626" t="s">
        <v>49</v>
      </c>
      <c r="E626">
        <v>720</v>
      </c>
      <c r="F626" s="55">
        <v>0</v>
      </c>
      <c r="G626">
        <f t="shared" si="24"/>
        <v>0</v>
      </c>
    </row>
    <row r="627" spans="1:7">
      <c r="A627" s="1">
        <f t="shared" si="26"/>
        <v>45514</v>
      </c>
      <c r="B627" t="s">
        <v>55</v>
      </c>
      <c r="C627" t="s">
        <v>15</v>
      </c>
      <c r="D627" t="s">
        <v>49</v>
      </c>
      <c r="E627">
        <v>720</v>
      </c>
      <c r="F627" s="55">
        <v>0</v>
      </c>
      <c r="G627">
        <f t="shared" si="24"/>
        <v>0</v>
      </c>
    </row>
    <row r="628" spans="1:7">
      <c r="A628" s="1">
        <f t="shared" si="26"/>
        <v>45515</v>
      </c>
      <c r="B628" t="s">
        <v>55</v>
      </c>
      <c r="C628" t="s">
        <v>15</v>
      </c>
      <c r="D628" t="s">
        <v>49</v>
      </c>
      <c r="E628">
        <v>720</v>
      </c>
      <c r="F628" s="55">
        <v>0</v>
      </c>
      <c r="G628">
        <f t="shared" si="24"/>
        <v>0</v>
      </c>
    </row>
    <row r="629" spans="1:7">
      <c r="A629" s="1">
        <f t="shared" si="26"/>
        <v>45516</v>
      </c>
      <c r="B629" t="s">
        <v>55</v>
      </c>
      <c r="C629" t="s">
        <v>15</v>
      </c>
      <c r="D629" t="s">
        <v>49</v>
      </c>
      <c r="E629">
        <v>720</v>
      </c>
      <c r="F629" s="55">
        <v>1</v>
      </c>
      <c r="G629">
        <f t="shared" si="24"/>
        <v>720</v>
      </c>
    </row>
    <row r="630" spans="1:7">
      <c r="A630" s="1">
        <f t="shared" si="26"/>
        <v>45517</v>
      </c>
      <c r="B630" t="s">
        <v>55</v>
      </c>
      <c r="C630" t="s">
        <v>15</v>
      </c>
      <c r="D630" t="s">
        <v>49</v>
      </c>
      <c r="E630">
        <v>720</v>
      </c>
      <c r="F630" s="55">
        <v>0</v>
      </c>
      <c r="G630">
        <f t="shared" si="24"/>
        <v>0</v>
      </c>
    </row>
    <row r="631" spans="1:7">
      <c r="A631" s="1">
        <f t="shared" si="26"/>
        <v>45518</v>
      </c>
      <c r="B631" t="s">
        <v>55</v>
      </c>
      <c r="C631" t="s">
        <v>15</v>
      </c>
      <c r="D631" t="s">
        <v>49</v>
      </c>
      <c r="E631">
        <v>720</v>
      </c>
      <c r="F631" s="55">
        <v>1</v>
      </c>
      <c r="G631">
        <f t="shared" si="24"/>
        <v>720</v>
      </c>
    </row>
    <row r="632" spans="1:7">
      <c r="A632" s="1">
        <f t="shared" si="26"/>
        <v>45519</v>
      </c>
      <c r="B632" t="s">
        <v>55</v>
      </c>
      <c r="C632" t="s">
        <v>15</v>
      </c>
      <c r="D632" t="s">
        <v>49</v>
      </c>
      <c r="E632">
        <v>720</v>
      </c>
      <c r="F632" s="55">
        <v>0</v>
      </c>
      <c r="G632">
        <f t="shared" si="24"/>
        <v>0</v>
      </c>
    </row>
    <row r="633" spans="1:7">
      <c r="A633" s="1">
        <f t="shared" si="26"/>
        <v>45520</v>
      </c>
      <c r="B633" t="s">
        <v>55</v>
      </c>
      <c r="C633" t="s">
        <v>15</v>
      </c>
      <c r="D633" t="s">
        <v>49</v>
      </c>
      <c r="E633">
        <v>720</v>
      </c>
      <c r="F633" s="55">
        <v>0</v>
      </c>
      <c r="G633">
        <f t="shared" si="24"/>
        <v>0</v>
      </c>
    </row>
    <row r="634" spans="1:7">
      <c r="A634" s="1">
        <f t="shared" si="26"/>
        <v>45521</v>
      </c>
      <c r="B634" t="s">
        <v>55</v>
      </c>
      <c r="C634" t="s">
        <v>15</v>
      </c>
      <c r="D634" t="s">
        <v>49</v>
      </c>
      <c r="E634">
        <v>720</v>
      </c>
      <c r="F634" s="55">
        <v>0</v>
      </c>
      <c r="G634">
        <f t="shared" si="24"/>
        <v>0</v>
      </c>
    </row>
    <row r="635" spans="1:7">
      <c r="A635" s="1">
        <f t="shared" si="26"/>
        <v>45522</v>
      </c>
      <c r="B635" t="s">
        <v>55</v>
      </c>
      <c r="C635" t="s">
        <v>15</v>
      </c>
      <c r="D635" t="s">
        <v>49</v>
      </c>
      <c r="E635">
        <v>720</v>
      </c>
      <c r="F635" s="55">
        <v>0</v>
      </c>
      <c r="G635">
        <f t="shared" si="24"/>
        <v>0</v>
      </c>
    </row>
    <row r="636" spans="1:7">
      <c r="A636" s="1">
        <f t="shared" si="26"/>
        <v>45523</v>
      </c>
      <c r="B636" t="s">
        <v>55</v>
      </c>
      <c r="C636" t="s">
        <v>15</v>
      </c>
      <c r="D636" t="s">
        <v>49</v>
      </c>
      <c r="E636">
        <v>720</v>
      </c>
      <c r="F636" s="55">
        <v>1</v>
      </c>
      <c r="G636">
        <f t="shared" si="24"/>
        <v>720</v>
      </c>
    </row>
    <row r="637" spans="1:7">
      <c r="A637" s="1">
        <f t="shared" si="26"/>
        <v>45524</v>
      </c>
      <c r="B637" t="s">
        <v>55</v>
      </c>
      <c r="C637" t="s">
        <v>15</v>
      </c>
      <c r="D637" t="s">
        <v>49</v>
      </c>
      <c r="E637">
        <v>720</v>
      </c>
      <c r="F637" s="55">
        <v>1</v>
      </c>
      <c r="G637">
        <f t="shared" si="24"/>
        <v>720</v>
      </c>
    </row>
    <row r="638" spans="1:7">
      <c r="A638" s="1">
        <f t="shared" si="26"/>
        <v>45525</v>
      </c>
      <c r="B638" t="s">
        <v>55</v>
      </c>
      <c r="C638" t="s">
        <v>15</v>
      </c>
      <c r="D638" t="s">
        <v>49</v>
      </c>
      <c r="E638">
        <v>720</v>
      </c>
      <c r="F638" s="55"/>
      <c r="G638">
        <f t="shared" si="24"/>
        <v>0</v>
      </c>
    </row>
    <row r="639" spans="1:7">
      <c r="A639" s="1">
        <f t="shared" si="26"/>
        <v>45526</v>
      </c>
      <c r="B639" t="s">
        <v>55</v>
      </c>
      <c r="C639" t="s">
        <v>15</v>
      </c>
      <c r="D639" t="s">
        <v>49</v>
      </c>
      <c r="E639">
        <v>720</v>
      </c>
      <c r="F639" s="55">
        <v>1</v>
      </c>
      <c r="G639">
        <f t="shared" si="24"/>
        <v>720</v>
      </c>
    </row>
    <row r="640" spans="1:7">
      <c r="A640" s="1">
        <f t="shared" si="26"/>
        <v>45527</v>
      </c>
      <c r="B640" t="s">
        <v>55</v>
      </c>
      <c r="C640" t="s">
        <v>15</v>
      </c>
      <c r="D640" t="s">
        <v>49</v>
      </c>
      <c r="E640">
        <v>720</v>
      </c>
      <c r="F640" s="55">
        <v>0</v>
      </c>
      <c r="G640">
        <f t="shared" si="24"/>
        <v>0</v>
      </c>
    </row>
    <row r="641" spans="1:7">
      <c r="A641" s="1">
        <f t="shared" si="26"/>
        <v>45528</v>
      </c>
      <c r="B641" t="s">
        <v>55</v>
      </c>
      <c r="C641" t="s">
        <v>15</v>
      </c>
      <c r="D641" t="s">
        <v>49</v>
      </c>
      <c r="E641">
        <v>720</v>
      </c>
      <c r="F641" s="55">
        <v>0</v>
      </c>
      <c r="G641">
        <f t="shared" si="24"/>
        <v>0</v>
      </c>
    </row>
    <row r="642" spans="1:7">
      <c r="A642" s="1">
        <f t="shared" si="26"/>
        <v>45529</v>
      </c>
      <c r="B642" t="s">
        <v>55</v>
      </c>
      <c r="C642" t="s">
        <v>15</v>
      </c>
      <c r="D642" t="s">
        <v>49</v>
      </c>
      <c r="E642">
        <v>720</v>
      </c>
      <c r="F642" s="55">
        <v>0</v>
      </c>
      <c r="G642">
        <f t="shared" si="24"/>
        <v>0</v>
      </c>
    </row>
    <row r="643" spans="1:7">
      <c r="A643" s="1">
        <f t="shared" si="26"/>
        <v>45530</v>
      </c>
      <c r="B643" t="s">
        <v>55</v>
      </c>
      <c r="C643" t="s">
        <v>15</v>
      </c>
      <c r="D643" t="s">
        <v>49</v>
      </c>
      <c r="E643">
        <v>720</v>
      </c>
      <c r="F643" s="55">
        <v>0</v>
      </c>
      <c r="G643">
        <f t="shared" ref="G643:G706" si="27">F643*E643</f>
        <v>0</v>
      </c>
    </row>
    <row r="644" spans="1:7">
      <c r="A644" s="1">
        <f t="shared" si="26"/>
        <v>45531</v>
      </c>
      <c r="B644" t="s">
        <v>55</v>
      </c>
      <c r="C644" t="s">
        <v>15</v>
      </c>
      <c r="D644" t="s">
        <v>49</v>
      </c>
      <c r="E644">
        <v>720</v>
      </c>
      <c r="F644" s="55">
        <v>0</v>
      </c>
      <c r="G644">
        <f t="shared" si="27"/>
        <v>0</v>
      </c>
    </row>
    <row r="645" spans="1:7">
      <c r="A645" s="1">
        <f t="shared" si="26"/>
        <v>45532</v>
      </c>
      <c r="B645" t="s">
        <v>55</v>
      </c>
      <c r="C645" t="s">
        <v>15</v>
      </c>
      <c r="D645" t="s">
        <v>49</v>
      </c>
      <c r="E645">
        <v>720</v>
      </c>
      <c r="F645" s="55">
        <v>0</v>
      </c>
      <c r="G645">
        <f t="shared" si="27"/>
        <v>0</v>
      </c>
    </row>
    <row r="646" spans="1:7">
      <c r="A646" s="1">
        <f t="shared" si="26"/>
        <v>45533</v>
      </c>
      <c r="B646" t="s">
        <v>55</v>
      </c>
      <c r="C646" t="s">
        <v>15</v>
      </c>
      <c r="D646" t="s">
        <v>49</v>
      </c>
      <c r="E646">
        <v>720</v>
      </c>
      <c r="F646" s="55">
        <v>1</v>
      </c>
      <c r="G646">
        <f t="shared" si="27"/>
        <v>720</v>
      </c>
    </row>
    <row r="647" spans="1:7">
      <c r="A647" s="1">
        <f t="shared" si="26"/>
        <v>45534</v>
      </c>
      <c r="B647" t="s">
        <v>55</v>
      </c>
      <c r="C647" t="s">
        <v>15</v>
      </c>
      <c r="D647" t="s">
        <v>49</v>
      </c>
      <c r="E647">
        <v>720</v>
      </c>
      <c r="F647" s="55">
        <v>0</v>
      </c>
      <c r="G647">
        <f t="shared" si="27"/>
        <v>0</v>
      </c>
    </row>
    <row r="648" spans="1:7">
      <c r="A648" s="1">
        <f t="shared" si="26"/>
        <v>45535</v>
      </c>
      <c r="B648" t="s">
        <v>55</v>
      </c>
      <c r="C648" t="s">
        <v>15</v>
      </c>
      <c r="D648" t="s">
        <v>49</v>
      </c>
      <c r="E648">
        <v>720</v>
      </c>
      <c r="F648" s="55">
        <v>0</v>
      </c>
      <c r="G648">
        <f t="shared" si="27"/>
        <v>0</v>
      </c>
    </row>
    <row r="649" spans="1:7">
      <c r="A649" s="1">
        <v>45474</v>
      </c>
      <c r="B649" t="s">
        <v>54</v>
      </c>
      <c r="C649" t="s">
        <v>40</v>
      </c>
      <c r="D649" t="s">
        <v>41</v>
      </c>
      <c r="E649">
        <v>160</v>
      </c>
      <c r="F649">
        <v>1</v>
      </c>
      <c r="G649">
        <f t="shared" si="27"/>
        <v>160</v>
      </c>
    </row>
    <row r="650" spans="1:7">
      <c r="A650" s="1">
        <f>A649+1</f>
        <v>45475</v>
      </c>
      <c r="B650" t="s">
        <v>54</v>
      </c>
      <c r="C650" t="s">
        <v>40</v>
      </c>
      <c r="D650" t="s">
        <v>41</v>
      </c>
      <c r="E650">
        <v>160</v>
      </c>
      <c r="F650">
        <v>1</v>
      </c>
      <c r="G650">
        <f t="shared" si="27"/>
        <v>160</v>
      </c>
    </row>
    <row r="651" spans="1:7">
      <c r="A651" s="1">
        <f t="shared" ref="A651:A679" si="28">A650+1</f>
        <v>45476</v>
      </c>
      <c r="B651" t="s">
        <v>54</v>
      </c>
      <c r="C651" t="s">
        <v>40</v>
      </c>
      <c r="D651" t="s">
        <v>41</v>
      </c>
      <c r="E651">
        <v>160</v>
      </c>
      <c r="F651">
        <v>2</v>
      </c>
      <c r="G651">
        <f t="shared" si="27"/>
        <v>320</v>
      </c>
    </row>
    <row r="652" spans="1:7">
      <c r="A652" s="1">
        <f t="shared" si="28"/>
        <v>45477</v>
      </c>
      <c r="B652" t="s">
        <v>54</v>
      </c>
      <c r="C652" t="s">
        <v>40</v>
      </c>
      <c r="D652" t="s">
        <v>41</v>
      </c>
      <c r="E652">
        <v>160</v>
      </c>
      <c r="F652">
        <v>1</v>
      </c>
      <c r="G652">
        <f t="shared" si="27"/>
        <v>160</v>
      </c>
    </row>
    <row r="653" spans="1:7">
      <c r="A653" s="1">
        <f t="shared" si="28"/>
        <v>45478</v>
      </c>
      <c r="B653" t="s">
        <v>54</v>
      </c>
      <c r="C653" t="s">
        <v>40</v>
      </c>
      <c r="D653" t="s">
        <v>41</v>
      </c>
      <c r="E653">
        <v>160</v>
      </c>
      <c r="F653">
        <v>0</v>
      </c>
      <c r="G653">
        <f t="shared" si="27"/>
        <v>0</v>
      </c>
    </row>
    <row r="654" spans="1:7">
      <c r="A654" s="1">
        <f t="shared" si="28"/>
        <v>45479</v>
      </c>
      <c r="B654" t="s">
        <v>54</v>
      </c>
      <c r="C654" t="s">
        <v>40</v>
      </c>
      <c r="D654" t="s">
        <v>41</v>
      </c>
      <c r="E654">
        <v>160</v>
      </c>
      <c r="F654">
        <v>0</v>
      </c>
      <c r="G654">
        <f t="shared" si="27"/>
        <v>0</v>
      </c>
    </row>
    <row r="655" spans="1:7">
      <c r="A655" s="1">
        <f t="shared" si="28"/>
        <v>45480</v>
      </c>
      <c r="B655" t="s">
        <v>54</v>
      </c>
      <c r="C655" t="s">
        <v>40</v>
      </c>
      <c r="D655" t="s">
        <v>41</v>
      </c>
      <c r="E655">
        <v>160</v>
      </c>
      <c r="F655">
        <v>0</v>
      </c>
      <c r="G655">
        <f t="shared" si="27"/>
        <v>0</v>
      </c>
    </row>
    <row r="656" spans="1:7">
      <c r="A656" s="1">
        <f t="shared" si="28"/>
        <v>45481</v>
      </c>
      <c r="B656" t="s">
        <v>54</v>
      </c>
      <c r="C656" t="s">
        <v>40</v>
      </c>
      <c r="D656" t="s">
        <v>41</v>
      </c>
      <c r="E656">
        <v>160</v>
      </c>
      <c r="F656">
        <v>2</v>
      </c>
      <c r="G656">
        <f t="shared" si="27"/>
        <v>320</v>
      </c>
    </row>
    <row r="657" spans="1:7">
      <c r="A657" s="1">
        <f t="shared" si="28"/>
        <v>45482</v>
      </c>
      <c r="B657" t="s">
        <v>54</v>
      </c>
      <c r="C657" t="s">
        <v>40</v>
      </c>
      <c r="D657" t="s">
        <v>41</v>
      </c>
      <c r="E657">
        <v>160</v>
      </c>
      <c r="F657">
        <v>2</v>
      </c>
      <c r="G657">
        <f t="shared" si="27"/>
        <v>320</v>
      </c>
    </row>
    <row r="658" spans="1:7">
      <c r="A658" s="1">
        <f t="shared" si="28"/>
        <v>45483</v>
      </c>
      <c r="B658" t="s">
        <v>54</v>
      </c>
      <c r="C658" t="s">
        <v>40</v>
      </c>
      <c r="D658" t="s">
        <v>41</v>
      </c>
      <c r="E658">
        <v>160</v>
      </c>
      <c r="F658">
        <v>3</v>
      </c>
      <c r="G658">
        <f t="shared" si="27"/>
        <v>480</v>
      </c>
    </row>
    <row r="659" spans="1:7">
      <c r="A659" s="1">
        <f t="shared" si="28"/>
        <v>45484</v>
      </c>
      <c r="B659" t="s">
        <v>54</v>
      </c>
      <c r="C659" t="s">
        <v>40</v>
      </c>
      <c r="D659" t="s">
        <v>41</v>
      </c>
      <c r="E659">
        <v>160</v>
      </c>
      <c r="F659">
        <v>2</v>
      </c>
      <c r="G659">
        <f t="shared" si="27"/>
        <v>320</v>
      </c>
    </row>
    <row r="660" spans="1:7">
      <c r="A660" s="1">
        <f t="shared" si="28"/>
        <v>45485</v>
      </c>
      <c r="B660" t="s">
        <v>54</v>
      </c>
      <c r="C660" t="s">
        <v>40</v>
      </c>
      <c r="D660" t="s">
        <v>41</v>
      </c>
      <c r="E660">
        <v>160</v>
      </c>
      <c r="F660">
        <v>2</v>
      </c>
      <c r="G660">
        <f t="shared" si="27"/>
        <v>320</v>
      </c>
    </row>
    <row r="661" spans="1:7">
      <c r="A661" s="1">
        <f t="shared" si="28"/>
        <v>45486</v>
      </c>
      <c r="B661" t="s">
        <v>54</v>
      </c>
      <c r="C661" t="s">
        <v>40</v>
      </c>
      <c r="D661" t="s">
        <v>41</v>
      </c>
      <c r="E661">
        <v>160</v>
      </c>
      <c r="F661">
        <v>0</v>
      </c>
      <c r="G661">
        <f t="shared" si="27"/>
        <v>0</v>
      </c>
    </row>
    <row r="662" spans="1:7">
      <c r="A662" s="1">
        <f t="shared" si="28"/>
        <v>45487</v>
      </c>
      <c r="B662" t="s">
        <v>54</v>
      </c>
      <c r="C662" t="s">
        <v>40</v>
      </c>
      <c r="D662" t="s">
        <v>41</v>
      </c>
      <c r="E662">
        <v>160</v>
      </c>
      <c r="F662">
        <v>0</v>
      </c>
      <c r="G662">
        <f t="shared" si="27"/>
        <v>0</v>
      </c>
    </row>
    <row r="663" spans="1:7">
      <c r="A663" s="1">
        <f t="shared" si="28"/>
        <v>45488</v>
      </c>
      <c r="B663" t="s">
        <v>54</v>
      </c>
      <c r="C663" t="s">
        <v>40</v>
      </c>
      <c r="D663" t="s">
        <v>41</v>
      </c>
      <c r="E663">
        <v>160</v>
      </c>
      <c r="F663">
        <v>2</v>
      </c>
      <c r="G663">
        <f t="shared" si="27"/>
        <v>320</v>
      </c>
    </row>
    <row r="664" spans="1:7">
      <c r="A664" s="1">
        <f t="shared" si="28"/>
        <v>45489</v>
      </c>
      <c r="B664" t="s">
        <v>54</v>
      </c>
      <c r="C664" t="s">
        <v>40</v>
      </c>
      <c r="D664" t="s">
        <v>41</v>
      </c>
      <c r="E664">
        <v>160</v>
      </c>
      <c r="F664">
        <v>1</v>
      </c>
      <c r="G664">
        <f t="shared" si="27"/>
        <v>160</v>
      </c>
    </row>
    <row r="665" spans="1:7">
      <c r="A665" s="1">
        <f t="shared" si="28"/>
        <v>45490</v>
      </c>
      <c r="B665" t="s">
        <v>54</v>
      </c>
      <c r="C665" t="s">
        <v>40</v>
      </c>
      <c r="D665" t="s">
        <v>41</v>
      </c>
      <c r="E665">
        <v>160</v>
      </c>
      <c r="F665">
        <v>2</v>
      </c>
      <c r="G665">
        <f t="shared" si="27"/>
        <v>320</v>
      </c>
    </row>
    <row r="666" spans="1:7">
      <c r="A666" s="1">
        <f t="shared" si="28"/>
        <v>45491</v>
      </c>
      <c r="B666" t="s">
        <v>54</v>
      </c>
      <c r="C666" t="s">
        <v>40</v>
      </c>
      <c r="D666" t="s">
        <v>41</v>
      </c>
      <c r="E666">
        <v>160</v>
      </c>
      <c r="F666">
        <v>1</v>
      </c>
      <c r="G666">
        <f t="shared" si="27"/>
        <v>160</v>
      </c>
    </row>
    <row r="667" spans="1:7">
      <c r="A667" s="1">
        <f t="shared" si="28"/>
        <v>45492</v>
      </c>
      <c r="B667" t="s">
        <v>54</v>
      </c>
      <c r="C667" t="s">
        <v>40</v>
      </c>
      <c r="D667" t="s">
        <v>41</v>
      </c>
      <c r="E667">
        <v>160</v>
      </c>
      <c r="F667">
        <v>0</v>
      </c>
      <c r="G667">
        <f t="shared" si="27"/>
        <v>0</v>
      </c>
    </row>
    <row r="668" spans="1:7">
      <c r="A668" s="1">
        <f t="shared" si="28"/>
        <v>45493</v>
      </c>
      <c r="B668" t="s">
        <v>54</v>
      </c>
      <c r="C668" t="s">
        <v>40</v>
      </c>
      <c r="D668" t="s">
        <v>41</v>
      </c>
      <c r="E668">
        <v>160</v>
      </c>
      <c r="F668">
        <v>0</v>
      </c>
      <c r="G668">
        <f t="shared" si="27"/>
        <v>0</v>
      </c>
    </row>
    <row r="669" spans="1:7">
      <c r="A669" s="1">
        <f t="shared" si="28"/>
        <v>45494</v>
      </c>
      <c r="B669" t="s">
        <v>54</v>
      </c>
      <c r="C669" t="s">
        <v>40</v>
      </c>
      <c r="D669" t="s">
        <v>41</v>
      </c>
      <c r="E669">
        <v>160</v>
      </c>
      <c r="F669">
        <v>0</v>
      </c>
      <c r="G669">
        <f t="shared" si="27"/>
        <v>0</v>
      </c>
    </row>
    <row r="670" spans="1:7">
      <c r="A670" s="1">
        <f t="shared" si="28"/>
        <v>45495</v>
      </c>
      <c r="B670" t="s">
        <v>54</v>
      </c>
      <c r="C670" t="s">
        <v>40</v>
      </c>
      <c r="D670" t="s">
        <v>41</v>
      </c>
      <c r="E670">
        <v>160</v>
      </c>
      <c r="F670">
        <v>1</v>
      </c>
      <c r="G670">
        <f t="shared" si="27"/>
        <v>160</v>
      </c>
    </row>
    <row r="671" spans="1:7">
      <c r="A671" s="1">
        <f t="shared" si="28"/>
        <v>45496</v>
      </c>
      <c r="B671" t="s">
        <v>54</v>
      </c>
      <c r="C671" t="s">
        <v>40</v>
      </c>
      <c r="D671" t="s">
        <v>41</v>
      </c>
      <c r="E671">
        <v>160</v>
      </c>
      <c r="F671">
        <v>2</v>
      </c>
      <c r="G671">
        <f t="shared" si="27"/>
        <v>320</v>
      </c>
    </row>
    <row r="672" spans="1:7">
      <c r="A672" s="1">
        <f t="shared" si="28"/>
        <v>45497</v>
      </c>
      <c r="B672" t="s">
        <v>54</v>
      </c>
      <c r="C672" t="s">
        <v>40</v>
      </c>
      <c r="D672" t="s">
        <v>41</v>
      </c>
      <c r="E672">
        <v>160</v>
      </c>
      <c r="F672">
        <v>1</v>
      </c>
      <c r="G672">
        <f t="shared" si="27"/>
        <v>160</v>
      </c>
    </row>
    <row r="673" spans="1:7">
      <c r="A673" s="1">
        <f t="shared" si="28"/>
        <v>45498</v>
      </c>
      <c r="B673" t="s">
        <v>54</v>
      </c>
      <c r="C673" t="s">
        <v>40</v>
      </c>
      <c r="D673" t="s">
        <v>41</v>
      </c>
      <c r="E673">
        <v>160</v>
      </c>
      <c r="F673">
        <v>1</v>
      </c>
      <c r="G673">
        <f t="shared" si="27"/>
        <v>160</v>
      </c>
    </row>
    <row r="674" spans="1:7">
      <c r="A674" s="1">
        <f t="shared" si="28"/>
        <v>45499</v>
      </c>
      <c r="B674" t="s">
        <v>54</v>
      </c>
      <c r="C674" t="s">
        <v>40</v>
      </c>
      <c r="D674" t="s">
        <v>41</v>
      </c>
      <c r="E674">
        <v>160</v>
      </c>
      <c r="F674">
        <v>2</v>
      </c>
      <c r="G674">
        <f t="shared" si="27"/>
        <v>320</v>
      </c>
    </row>
    <row r="675" spans="1:7">
      <c r="A675" s="1">
        <f t="shared" si="28"/>
        <v>45500</v>
      </c>
      <c r="B675" t="s">
        <v>54</v>
      </c>
      <c r="C675" t="s">
        <v>40</v>
      </c>
      <c r="D675" t="s">
        <v>41</v>
      </c>
      <c r="E675">
        <v>160</v>
      </c>
      <c r="F675">
        <v>0</v>
      </c>
      <c r="G675">
        <f t="shared" si="27"/>
        <v>0</v>
      </c>
    </row>
    <row r="676" spans="1:7">
      <c r="A676" s="1">
        <f t="shared" si="28"/>
        <v>45501</v>
      </c>
      <c r="B676" t="s">
        <v>54</v>
      </c>
      <c r="C676" t="s">
        <v>40</v>
      </c>
      <c r="D676" t="s">
        <v>41</v>
      </c>
      <c r="E676">
        <v>160</v>
      </c>
      <c r="F676">
        <v>0</v>
      </c>
      <c r="G676">
        <f t="shared" si="27"/>
        <v>0</v>
      </c>
    </row>
    <row r="677" spans="1:7">
      <c r="A677" s="1">
        <f t="shared" si="28"/>
        <v>45502</v>
      </c>
      <c r="B677" t="s">
        <v>54</v>
      </c>
      <c r="C677" t="s">
        <v>40</v>
      </c>
      <c r="D677" t="s">
        <v>41</v>
      </c>
      <c r="E677">
        <v>160</v>
      </c>
      <c r="F677">
        <v>3</v>
      </c>
      <c r="G677">
        <f t="shared" si="27"/>
        <v>480</v>
      </c>
    </row>
    <row r="678" spans="1:7">
      <c r="A678" s="1">
        <f t="shared" si="28"/>
        <v>45503</v>
      </c>
      <c r="B678" t="s">
        <v>54</v>
      </c>
      <c r="C678" t="s">
        <v>40</v>
      </c>
      <c r="D678" t="s">
        <v>41</v>
      </c>
      <c r="E678">
        <v>160</v>
      </c>
      <c r="F678">
        <v>0</v>
      </c>
      <c r="G678">
        <f t="shared" si="27"/>
        <v>0</v>
      </c>
    </row>
    <row r="679" spans="1:7">
      <c r="A679" s="1">
        <f t="shared" si="28"/>
        <v>45504</v>
      </c>
      <c r="B679" t="s">
        <v>54</v>
      </c>
      <c r="C679" t="s">
        <v>40</v>
      </c>
      <c r="D679" t="s">
        <v>41</v>
      </c>
      <c r="E679">
        <v>160</v>
      </c>
      <c r="F679">
        <v>1</v>
      </c>
      <c r="G679">
        <f t="shared" si="27"/>
        <v>160</v>
      </c>
    </row>
    <row r="680" spans="1:7">
      <c r="A680" s="1">
        <v>45474</v>
      </c>
      <c r="B680" t="s">
        <v>54</v>
      </c>
      <c r="C680" t="s">
        <v>40</v>
      </c>
      <c r="D680" t="s">
        <v>42</v>
      </c>
      <c r="E680">
        <v>160</v>
      </c>
      <c r="F680">
        <v>2</v>
      </c>
      <c r="G680">
        <f t="shared" si="27"/>
        <v>320</v>
      </c>
    </row>
    <row r="681" spans="1:7">
      <c r="A681" s="1">
        <f>A680+1</f>
        <v>45475</v>
      </c>
      <c r="B681" t="s">
        <v>54</v>
      </c>
      <c r="C681" t="s">
        <v>40</v>
      </c>
      <c r="D681" t="s">
        <v>42</v>
      </c>
      <c r="E681">
        <v>160</v>
      </c>
      <c r="F681">
        <v>2</v>
      </c>
      <c r="G681">
        <f t="shared" si="27"/>
        <v>320</v>
      </c>
    </row>
    <row r="682" spans="1:7">
      <c r="A682" s="1">
        <f t="shared" ref="A682:A710" si="29">A681+1</f>
        <v>45476</v>
      </c>
      <c r="B682" t="s">
        <v>54</v>
      </c>
      <c r="C682" t="s">
        <v>40</v>
      </c>
      <c r="D682" t="s">
        <v>42</v>
      </c>
      <c r="E682">
        <v>160</v>
      </c>
      <c r="F682">
        <v>5</v>
      </c>
      <c r="G682">
        <f t="shared" si="27"/>
        <v>800</v>
      </c>
    </row>
    <row r="683" spans="1:7">
      <c r="A683" s="1">
        <f t="shared" si="29"/>
        <v>45477</v>
      </c>
      <c r="B683" t="s">
        <v>54</v>
      </c>
      <c r="C683" t="s">
        <v>40</v>
      </c>
      <c r="D683" t="s">
        <v>42</v>
      </c>
      <c r="E683">
        <v>160</v>
      </c>
      <c r="F683">
        <v>0</v>
      </c>
      <c r="G683">
        <f t="shared" si="27"/>
        <v>0</v>
      </c>
    </row>
    <row r="684" spans="1:7">
      <c r="A684" s="1">
        <f t="shared" si="29"/>
        <v>45478</v>
      </c>
      <c r="B684" t="s">
        <v>54</v>
      </c>
      <c r="C684" t="s">
        <v>40</v>
      </c>
      <c r="D684" t="s">
        <v>42</v>
      </c>
      <c r="E684">
        <v>160</v>
      </c>
      <c r="F684">
        <v>2</v>
      </c>
      <c r="G684">
        <f t="shared" si="27"/>
        <v>320</v>
      </c>
    </row>
    <row r="685" spans="1:7">
      <c r="A685" s="1">
        <f t="shared" si="29"/>
        <v>45479</v>
      </c>
      <c r="B685" t="s">
        <v>54</v>
      </c>
      <c r="C685" t="s">
        <v>40</v>
      </c>
      <c r="D685" t="s">
        <v>42</v>
      </c>
      <c r="E685">
        <v>160</v>
      </c>
      <c r="F685">
        <v>0</v>
      </c>
      <c r="G685">
        <f t="shared" si="27"/>
        <v>0</v>
      </c>
    </row>
    <row r="686" spans="1:7">
      <c r="A686" s="1">
        <f t="shared" si="29"/>
        <v>45480</v>
      </c>
      <c r="B686" t="s">
        <v>54</v>
      </c>
      <c r="C686" t="s">
        <v>40</v>
      </c>
      <c r="D686" t="s">
        <v>42</v>
      </c>
      <c r="E686">
        <v>160</v>
      </c>
      <c r="F686">
        <v>0</v>
      </c>
      <c r="G686">
        <f t="shared" si="27"/>
        <v>0</v>
      </c>
    </row>
    <row r="687" spans="1:7">
      <c r="A687" s="1">
        <f t="shared" si="29"/>
        <v>45481</v>
      </c>
      <c r="B687" t="s">
        <v>54</v>
      </c>
      <c r="C687" t="s">
        <v>40</v>
      </c>
      <c r="D687" t="s">
        <v>42</v>
      </c>
      <c r="E687">
        <v>160</v>
      </c>
      <c r="F687">
        <v>0</v>
      </c>
      <c r="G687">
        <f t="shared" si="27"/>
        <v>0</v>
      </c>
    </row>
    <row r="688" spans="1:7">
      <c r="A688" s="1">
        <f t="shared" si="29"/>
        <v>45482</v>
      </c>
      <c r="B688" t="s">
        <v>54</v>
      </c>
      <c r="C688" t="s">
        <v>40</v>
      </c>
      <c r="D688" t="s">
        <v>42</v>
      </c>
      <c r="E688">
        <v>160</v>
      </c>
      <c r="F688">
        <v>0</v>
      </c>
      <c r="G688">
        <f t="shared" si="27"/>
        <v>0</v>
      </c>
    </row>
    <row r="689" spans="1:7">
      <c r="A689" s="1">
        <f t="shared" si="29"/>
        <v>45483</v>
      </c>
      <c r="B689" t="s">
        <v>54</v>
      </c>
      <c r="C689" t="s">
        <v>40</v>
      </c>
      <c r="D689" t="s">
        <v>42</v>
      </c>
      <c r="E689">
        <v>160</v>
      </c>
      <c r="F689">
        <v>0</v>
      </c>
      <c r="G689">
        <f t="shared" si="27"/>
        <v>0</v>
      </c>
    </row>
    <row r="690" spans="1:7">
      <c r="A690" s="1">
        <f t="shared" si="29"/>
        <v>45484</v>
      </c>
      <c r="B690" t="s">
        <v>54</v>
      </c>
      <c r="C690" t="s">
        <v>40</v>
      </c>
      <c r="D690" t="s">
        <v>42</v>
      </c>
      <c r="E690">
        <v>160</v>
      </c>
      <c r="F690">
        <v>0</v>
      </c>
      <c r="G690">
        <f t="shared" si="27"/>
        <v>0</v>
      </c>
    </row>
    <row r="691" spans="1:7">
      <c r="A691" s="1">
        <f t="shared" si="29"/>
        <v>45485</v>
      </c>
      <c r="B691" t="s">
        <v>54</v>
      </c>
      <c r="C691" t="s">
        <v>40</v>
      </c>
      <c r="D691" t="s">
        <v>42</v>
      </c>
      <c r="E691">
        <v>160</v>
      </c>
      <c r="F691">
        <v>0</v>
      </c>
      <c r="G691">
        <f t="shared" si="27"/>
        <v>0</v>
      </c>
    </row>
    <row r="692" spans="1:7">
      <c r="A692" s="1">
        <f t="shared" si="29"/>
        <v>45486</v>
      </c>
      <c r="B692" t="s">
        <v>54</v>
      </c>
      <c r="C692" t="s">
        <v>40</v>
      </c>
      <c r="D692" t="s">
        <v>42</v>
      </c>
      <c r="E692">
        <v>160</v>
      </c>
      <c r="F692">
        <v>0</v>
      </c>
      <c r="G692">
        <f t="shared" si="27"/>
        <v>0</v>
      </c>
    </row>
    <row r="693" spans="1:7">
      <c r="A693" s="1">
        <f t="shared" si="29"/>
        <v>45487</v>
      </c>
      <c r="B693" t="s">
        <v>54</v>
      </c>
      <c r="C693" t="s">
        <v>40</v>
      </c>
      <c r="D693" t="s">
        <v>42</v>
      </c>
      <c r="E693">
        <v>160</v>
      </c>
      <c r="F693">
        <v>0</v>
      </c>
      <c r="G693">
        <f t="shared" si="27"/>
        <v>0</v>
      </c>
    </row>
    <row r="694" spans="1:7">
      <c r="A694" s="1">
        <f t="shared" si="29"/>
        <v>45488</v>
      </c>
      <c r="B694" t="s">
        <v>54</v>
      </c>
      <c r="C694" t="s">
        <v>40</v>
      </c>
      <c r="D694" t="s">
        <v>42</v>
      </c>
      <c r="E694">
        <v>160</v>
      </c>
      <c r="F694">
        <v>4</v>
      </c>
      <c r="G694">
        <f t="shared" si="27"/>
        <v>640</v>
      </c>
    </row>
    <row r="695" spans="1:7">
      <c r="A695" s="1">
        <f t="shared" si="29"/>
        <v>45489</v>
      </c>
      <c r="B695" t="s">
        <v>54</v>
      </c>
      <c r="C695" t="s">
        <v>40</v>
      </c>
      <c r="D695" t="s">
        <v>42</v>
      </c>
      <c r="E695">
        <v>160</v>
      </c>
      <c r="F695">
        <v>3</v>
      </c>
      <c r="G695">
        <f t="shared" si="27"/>
        <v>480</v>
      </c>
    </row>
    <row r="696" spans="1:7">
      <c r="A696" s="1">
        <f t="shared" si="29"/>
        <v>45490</v>
      </c>
      <c r="B696" t="s">
        <v>54</v>
      </c>
      <c r="C696" t="s">
        <v>40</v>
      </c>
      <c r="D696" t="s">
        <v>42</v>
      </c>
      <c r="E696">
        <v>160</v>
      </c>
      <c r="F696">
        <v>4</v>
      </c>
      <c r="G696">
        <f t="shared" si="27"/>
        <v>640</v>
      </c>
    </row>
    <row r="697" spans="1:7">
      <c r="A697" s="1">
        <f t="shared" si="29"/>
        <v>45491</v>
      </c>
      <c r="B697" t="s">
        <v>54</v>
      </c>
      <c r="C697" t="s">
        <v>40</v>
      </c>
      <c r="D697" t="s">
        <v>42</v>
      </c>
      <c r="E697">
        <v>160</v>
      </c>
      <c r="F697">
        <v>1</v>
      </c>
      <c r="G697">
        <f t="shared" si="27"/>
        <v>160</v>
      </c>
    </row>
    <row r="698" spans="1:7">
      <c r="A698" s="1">
        <f t="shared" si="29"/>
        <v>45492</v>
      </c>
      <c r="B698" t="s">
        <v>54</v>
      </c>
      <c r="C698" t="s">
        <v>40</v>
      </c>
      <c r="D698" t="s">
        <v>42</v>
      </c>
      <c r="E698">
        <v>160</v>
      </c>
      <c r="F698">
        <v>0</v>
      </c>
      <c r="G698">
        <f t="shared" si="27"/>
        <v>0</v>
      </c>
    </row>
    <row r="699" spans="1:7">
      <c r="A699" s="1">
        <f t="shared" si="29"/>
        <v>45493</v>
      </c>
      <c r="B699" t="s">
        <v>54</v>
      </c>
      <c r="C699" t="s">
        <v>40</v>
      </c>
      <c r="D699" t="s">
        <v>42</v>
      </c>
      <c r="E699">
        <v>160</v>
      </c>
      <c r="F699">
        <v>0</v>
      </c>
      <c r="G699">
        <f t="shared" si="27"/>
        <v>0</v>
      </c>
    </row>
    <row r="700" spans="1:7">
      <c r="A700" s="1">
        <f t="shared" si="29"/>
        <v>45494</v>
      </c>
      <c r="B700" t="s">
        <v>54</v>
      </c>
      <c r="C700" t="s">
        <v>40</v>
      </c>
      <c r="D700" t="s">
        <v>42</v>
      </c>
      <c r="E700">
        <v>160</v>
      </c>
      <c r="F700">
        <v>0</v>
      </c>
      <c r="G700">
        <f t="shared" si="27"/>
        <v>0</v>
      </c>
    </row>
    <row r="701" spans="1:7">
      <c r="A701" s="1">
        <f t="shared" si="29"/>
        <v>45495</v>
      </c>
      <c r="B701" t="s">
        <v>54</v>
      </c>
      <c r="C701" t="s">
        <v>40</v>
      </c>
      <c r="D701" t="s">
        <v>42</v>
      </c>
      <c r="E701">
        <v>160</v>
      </c>
      <c r="F701">
        <v>2</v>
      </c>
      <c r="G701">
        <f t="shared" si="27"/>
        <v>320</v>
      </c>
    </row>
    <row r="702" spans="1:7">
      <c r="A702" s="1">
        <f t="shared" si="29"/>
        <v>45496</v>
      </c>
      <c r="B702" t="s">
        <v>54</v>
      </c>
      <c r="C702" t="s">
        <v>40</v>
      </c>
      <c r="D702" t="s">
        <v>42</v>
      </c>
      <c r="E702">
        <v>160</v>
      </c>
      <c r="F702">
        <v>4</v>
      </c>
      <c r="G702">
        <f t="shared" si="27"/>
        <v>640</v>
      </c>
    </row>
    <row r="703" spans="1:7">
      <c r="A703" s="1">
        <f t="shared" si="29"/>
        <v>45497</v>
      </c>
      <c r="B703" t="s">
        <v>54</v>
      </c>
      <c r="C703" t="s">
        <v>40</v>
      </c>
      <c r="D703" t="s">
        <v>42</v>
      </c>
      <c r="E703">
        <v>160</v>
      </c>
      <c r="F703">
        <v>3</v>
      </c>
      <c r="G703">
        <f t="shared" si="27"/>
        <v>480</v>
      </c>
    </row>
    <row r="704" spans="1:7">
      <c r="A704" s="1">
        <f t="shared" si="29"/>
        <v>45498</v>
      </c>
      <c r="B704" t="s">
        <v>54</v>
      </c>
      <c r="C704" t="s">
        <v>40</v>
      </c>
      <c r="D704" t="s">
        <v>42</v>
      </c>
      <c r="E704">
        <v>160</v>
      </c>
      <c r="F704">
        <v>3</v>
      </c>
      <c r="G704">
        <f t="shared" si="27"/>
        <v>480</v>
      </c>
    </row>
    <row r="705" spans="1:7">
      <c r="A705" s="1">
        <f t="shared" si="29"/>
        <v>45499</v>
      </c>
      <c r="B705" t="s">
        <v>54</v>
      </c>
      <c r="C705" t="s">
        <v>40</v>
      </c>
      <c r="D705" t="s">
        <v>42</v>
      </c>
      <c r="E705">
        <v>160</v>
      </c>
      <c r="F705">
        <v>4</v>
      </c>
      <c r="G705">
        <f t="shared" si="27"/>
        <v>640</v>
      </c>
    </row>
    <row r="706" spans="1:7">
      <c r="A706" s="1">
        <f t="shared" si="29"/>
        <v>45500</v>
      </c>
      <c r="B706" t="s">
        <v>54</v>
      </c>
      <c r="C706" t="s">
        <v>40</v>
      </c>
      <c r="D706" t="s">
        <v>42</v>
      </c>
      <c r="E706">
        <v>160</v>
      </c>
      <c r="F706">
        <v>0</v>
      </c>
      <c r="G706">
        <f t="shared" si="27"/>
        <v>0</v>
      </c>
    </row>
    <row r="707" spans="1:7">
      <c r="A707" s="1">
        <f t="shared" si="29"/>
        <v>45501</v>
      </c>
      <c r="B707" t="s">
        <v>54</v>
      </c>
      <c r="C707" t="s">
        <v>40</v>
      </c>
      <c r="D707" t="s">
        <v>42</v>
      </c>
      <c r="E707">
        <v>160</v>
      </c>
      <c r="F707">
        <v>0</v>
      </c>
      <c r="G707">
        <f t="shared" ref="G707:G770" si="30">F707*E707</f>
        <v>0</v>
      </c>
    </row>
    <row r="708" spans="1:7">
      <c r="A708" s="1">
        <f t="shared" si="29"/>
        <v>45502</v>
      </c>
      <c r="B708" t="s">
        <v>54</v>
      </c>
      <c r="C708" t="s">
        <v>40</v>
      </c>
      <c r="D708" t="s">
        <v>42</v>
      </c>
      <c r="E708">
        <v>160</v>
      </c>
      <c r="F708">
        <v>4</v>
      </c>
      <c r="G708">
        <f t="shared" si="30"/>
        <v>640</v>
      </c>
    </row>
    <row r="709" spans="1:7">
      <c r="A709" s="1">
        <f t="shared" si="29"/>
        <v>45503</v>
      </c>
      <c r="B709" t="s">
        <v>54</v>
      </c>
      <c r="C709" t="s">
        <v>40</v>
      </c>
      <c r="D709" t="s">
        <v>42</v>
      </c>
      <c r="E709">
        <v>160</v>
      </c>
      <c r="F709">
        <v>3</v>
      </c>
      <c r="G709">
        <f t="shared" si="30"/>
        <v>480</v>
      </c>
    </row>
    <row r="710" spans="1:7">
      <c r="A710" s="1">
        <f t="shared" si="29"/>
        <v>45504</v>
      </c>
      <c r="B710" t="s">
        <v>54</v>
      </c>
      <c r="C710" t="s">
        <v>40</v>
      </c>
      <c r="D710" t="s">
        <v>42</v>
      </c>
      <c r="E710">
        <v>160</v>
      </c>
      <c r="F710">
        <v>3</v>
      </c>
      <c r="G710">
        <f t="shared" si="30"/>
        <v>480</v>
      </c>
    </row>
    <row r="711" spans="1:7">
      <c r="A711" s="1">
        <v>45474</v>
      </c>
      <c r="B711" t="s">
        <v>54</v>
      </c>
      <c r="C711" t="s">
        <v>15</v>
      </c>
      <c r="D711" t="s">
        <v>6</v>
      </c>
      <c r="E711">
        <v>700</v>
      </c>
      <c r="G711">
        <f t="shared" si="30"/>
        <v>0</v>
      </c>
    </row>
    <row r="712" spans="1:7">
      <c r="A712" s="1">
        <v>45475</v>
      </c>
      <c r="B712" t="s">
        <v>54</v>
      </c>
      <c r="C712" t="s">
        <v>15</v>
      </c>
      <c r="D712" t="s">
        <v>6</v>
      </c>
      <c r="E712">
        <v>700</v>
      </c>
      <c r="G712">
        <f t="shared" si="30"/>
        <v>0</v>
      </c>
    </row>
    <row r="713" spans="1:7">
      <c r="A713" s="1">
        <v>45476</v>
      </c>
      <c r="B713" t="s">
        <v>54</v>
      </c>
      <c r="C713" t="s">
        <v>15</v>
      </c>
      <c r="D713" t="s">
        <v>6</v>
      </c>
      <c r="E713">
        <v>700</v>
      </c>
      <c r="G713">
        <f t="shared" si="30"/>
        <v>0</v>
      </c>
    </row>
    <row r="714" spans="1:7">
      <c r="A714" s="1">
        <v>45477</v>
      </c>
      <c r="B714" t="s">
        <v>54</v>
      </c>
      <c r="C714" t="s">
        <v>15</v>
      </c>
      <c r="D714" t="s">
        <v>6</v>
      </c>
      <c r="E714">
        <v>700</v>
      </c>
      <c r="G714">
        <f t="shared" si="30"/>
        <v>0</v>
      </c>
    </row>
    <row r="715" spans="1:7">
      <c r="A715" s="1">
        <v>45478</v>
      </c>
      <c r="B715" t="s">
        <v>54</v>
      </c>
      <c r="C715" t="s">
        <v>15</v>
      </c>
      <c r="D715" t="s">
        <v>6</v>
      </c>
      <c r="E715">
        <v>700</v>
      </c>
      <c r="G715">
        <f t="shared" si="30"/>
        <v>0</v>
      </c>
    </row>
    <row r="716" spans="1:7">
      <c r="A716" s="1">
        <v>45479</v>
      </c>
      <c r="B716" t="s">
        <v>54</v>
      </c>
      <c r="C716" t="s">
        <v>15</v>
      </c>
      <c r="D716" t="s">
        <v>6</v>
      </c>
      <c r="E716">
        <v>700</v>
      </c>
      <c r="G716">
        <f t="shared" si="30"/>
        <v>0</v>
      </c>
    </row>
    <row r="717" spans="1:7">
      <c r="A717" s="1">
        <v>45480</v>
      </c>
      <c r="B717" t="s">
        <v>54</v>
      </c>
      <c r="C717" t="s">
        <v>15</v>
      </c>
      <c r="D717" t="s">
        <v>6</v>
      </c>
      <c r="E717">
        <v>700</v>
      </c>
      <c r="G717">
        <f t="shared" si="30"/>
        <v>0</v>
      </c>
    </row>
    <row r="718" spans="1:7">
      <c r="A718" s="1">
        <v>45481</v>
      </c>
      <c r="B718" t="s">
        <v>54</v>
      </c>
      <c r="C718" t="s">
        <v>15</v>
      </c>
      <c r="D718" t="s">
        <v>6</v>
      </c>
      <c r="E718">
        <v>700</v>
      </c>
      <c r="G718">
        <f t="shared" si="30"/>
        <v>0</v>
      </c>
    </row>
    <row r="719" spans="1:7">
      <c r="A719" s="1">
        <v>45482</v>
      </c>
      <c r="B719" t="s">
        <v>54</v>
      </c>
      <c r="C719" t="s">
        <v>15</v>
      </c>
      <c r="D719" t="s">
        <v>6</v>
      </c>
      <c r="E719">
        <v>700</v>
      </c>
      <c r="G719">
        <f t="shared" si="30"/>
        <v>0</v>
      </c>
    </row>
    <row r="720" spans="1:7">
      <c r="A720" s="1">
        <v>45483</v>
      </c>
      <c r="B720" t="s">
        <v>54</v>
      </c>
      <c r="C720" t="s">
        <v>15</v>
      </c>
      <c r="D720" t="s">
        <v>6</v>
      </c>
      <c r="E720">
        <v>700</v>
      </c>
      <c r="G720">
        <f t="shared" si="30"/>
        <v>0</v>
      </c>
    </row>
    <row r="721" spans="1:7">
      <c r="A721" s="1">
        <v>45484</v>
      </c>
      <c r="B721" t="s">
        <v>54</v>
      </c>
      <c r="C721" t="s">
        <v>15</v>
      </c>
      <c r="D721" t="s">
        <v>6</v>
      </c>
      <c r="E721">
        <v>700</v>
      </c>
      <c r="G721">
        <f t="shared" si="30"/>
        <v>0</v>
      </c>
    </row>
    <row r="722" spans="1:7">
      <c r="A722" s="1">
        <v>45485</v>
      </c>
      <c r="B722" t="s">
        <v>54</v>
      </c>
      <c r="C722" t="s">
        <v>15</v>
      </c>
      <c r="D722" t="s">
        <v>6</v>
      </c>
      <c r="E722">
        <v>700</v>
      </c>
      <c r="G722">
        <f t="shared" si="30"/>
        <v>0</v>
      </c>
    </row>
    <row r="723" spans="1:7">
      <c r="A723" s="1">
        <v>45486</v>
      </c>
      <c r="B723" t="s">
        <v>54</v>
      </c>
      <c r="C723" t="s">
        <v>15</v>
      </c>
      <c r="D723" t="s">
        <v>6</v>
      </c>
      <c r="E723">
        <v>700</v>
      </c>
      <c r="G723">
        <f t="shared" si="30"/>
        <v>0</v>
      </c>
    </row>
    <row r="724" spans="1:7">
      <c r="A724" s="1">
        <v>45487</v>
      </c>
      <c r="B724" t="s">
        <v>54</v>
      </c>
      <c r="C724" t="s">
        <v>15</v>
      </c>
      <c r="D724" t="s">
        <v>6</v>
      </c>
      <c r="E724">
        <v>700</v>
      </c>
      <c r="G724">
        <f t="shared" si="30"/>
        <v>0</v>
      </c>
    </row>
    <row r="725" spans="1:7">
      <c r="A725" s="1">
        <v>45488</v>
      </c>
      <c r="B725" t="s">
        <v>54</v>
      </c>
      <c r="C725" t="s">
        <v>15</v>
      </c>
      <c r="D725" t="s">
        <v>6</v>
      </c>
      <c r="E725">
        <v>700</v>
      </c>
      <c r="G725">
        <f t="shared" si="30"/>
        <v>0</v>
      </c>
    </row>
    <row r="726" spans="1:7">
      <c r="A726" s="1">
        <v>45489</v>
      </c>
      <c r="B726" t="s">
        <v>54</v>
      </c>
      <c r="C726" t="s">
        <v>15</v>
      </c>
      <c r="D726" t="s">
        <v>6</v>
      </c>
      <c r="E726">
        <v>700</v>
      </c>
      <c r="G726">
        <f t="shared" si="30"/>
        <v>0</v>
      </c>
    </row>
    <row r="727" spans="1:7">
      <c r="A727" s="1">
        <v>45490</v>
      </c>
      <c r="B727" t="s">
        <v>54</v>
      </c>
      <c r="C727" t="s">
        <v>15</v>
      </c>
      <c r="D727" t="s">
        <v>6</v>
      </c>
      <c r="E727">
        <v>700</v>
      </c>
      <c r="G727">
        <f t="shared" si="30"/>
        <v>0</v>
      </c>
    </row>
    <row r="728" spans="1:7">
      <c r="A728" s="1">
        <v>45491</v>
      </c>
      <c r="B728" t="s">
        <v>54</v>
      </c>
      <c r="C728" t="s">
        <v>15</v>
      </c>
      <c r="D728" t="s">
        <v>6</v>
      </c>
      <c r="E728">
        <v>700</v>
      </c>
      <c r="G728">
        <f t="shared" si="30"/>
        <v>0</v>
      </c>
    </row>
    <row r="729" spans="1:7">
      <c r="A729" s="1">
        <v>45492</v>
      </c>
      <c r="B729" t="s">
        <v>54</v>
      </c>
      <c r="C729" t="s">
        <v>15</v>
      </c>
      <c r="D729" t="s">
        <v>6</v>
      </c>
      <c r="E729">
        <v>700</v>
      </c>
      <c r="G729">
        <f t="shared" si="30"/>
        <v>0</v>
      </c>
    </row>
    <row r="730" spans="1:7">
      <c r="A730" s="1">
        <v>45493</v>
      </c>
      <c r="B730" t="s">
        <v>54</v>
      </c>
      <c r="C730" t="s">
        <v>15</v>
      </c>
      <c r="D730" t="s">
        <v>6</v>
      </c>
      <c r="E730">
        <v>700</v>
      </c>
      <c r="G730">
        <f t="shared" si="30"/>
        <v>0</v>
      </c>
    </row>
    <row r="731" spans="1:7">
      <c r="A731" s="1">
        <v>45494</v>
      </c>
      <c r="B731" t="s">
        <v>54</v>
      </c>
      <c r="C731" t="s">
        <v>15</v>
      </c>
      <c r="D731" t="s">
        <v>6</v>
      </c>
      <c r="E731">
        <v>700</v>
      </c>
      <c r="G731">
        <f t="shared" si="30"/>
        <v>0</v>
      </c>
    </row>
    <row r="732" spans="1:7">
      <c r="A732" s="1">
        <v>45495</v>
      </c>
      <c r="B732" t="s">
        <v>54</v>
      </c>
      <c r="C732" t="s">
        <v>15</v>
      </c>
      <c r="D732" t="s">
        <v>6</v>
      </c>
      <c r="E732">
        <v>700</v>
      </c>
      <c r="G732">
        <f t="shared" si="30"/>
        <v>0</v>
      </c>
    </row>
    <row r="733" spans="1:7">
      <c r="A733" s="1">
        <v>45496</v>
      </c>
      <c r="B733" t="s">
        <v>54</v>
      </c>
      <c r="C733" t="s">
        <v>15</v>
      </c>
      <c r="D733" t="s">
        <v>6</v>
      </c>
      <c r="E733">
        <v>700</v>
      </c>
      <c r="G733">
        <f t="shared" si="30"/>
        <v>0</v>
      </c>
    </row>
    <row r="734" spans="1:7">
      <c r="A734" s="1">
        <v>45497</v>
      </c>
      <c r="B734" t="s">
        <v>54</v>
      </c>
      <c r="C734" t="s">
        <v>15</v>
      </c>
      <c r="D734" t="s">
        <v>6</v>
      </c>
      <c r="E734">
        <v>700</v>
      </c>
      <c r="G734">
        <f t="shared" si="30"/>
        <v>0</v>
      </c>
    </row>
    <row r="735" spans="1:7">
      <c r="A735" s="1">
        <v>45498</v>
      </c>
      <c r="B735" t="s">
        <v>54</v>
      </c>
      <c r="C735" t="s">
        <v>15</v>
      </c>
      <c r="D735" t="s">
        <v>6</v>
      </c>
      <c r="E735">
        <v>700</v>
      </c>
      <c r="G735">
        <f t="shared" si="30"/>
        <v>0</v>
      </c>
    </row>
    <row r="736" spans="1:7">
      <c r="A736" s="1">
        <v>45499</v>
      </c>
      <c r="B736" t="s">
        <v>54</v>
      </c>
      <c r="C736" t="s">
        <v>15</v>
      </c>
      <c r="D736" t="s">
        <v>6</v>
      </c>
      <c r="E736">
        <v>700</v>
      </c>
      <c r="G736">
        <f t="shared" si="30"/>
        <v>0</v>
      </c>
    </row>
    <row r="737" spans="1:7">
      <c r="A737" s="1">
        <v>45500</v>
      </c>
      <c r="B737" t="s">
        <v>54</v>
      </c>
      <c r="C737" t="s">
        <v>15</v>
      </c>
      <c r="D737" t="s">
        <v>6</v>
      </c>
      <c r="E737">
        <v>700</v>
      </c>
      <c r="G737">
        <f t="shared" si="30"/>
        <v>0</v>
      </c>
    </row>
    <row r="738" spans="1:7">
      <c r="A738" s="1">
        <v>45501</v>
      </c>
      <c r="B738" t="s">
        <v>54</v>
      </c>
      <c r="C738" t="s">
        <v>15</v>
      </c>
      <c r="D738" t="s">
        <v>6</v>
      </c>
      <c r="E738">
        <v>700</v>
      </c>
      <c r="G738">
        <f t="shared" si="30"/>
        <v>0</v>
      </c>
    </row>
    <row r="739" spans="1:7">
      <c r="A739" s="1">
        <v>45502</v>
      </c>
      <c r="B739" t="s">
        <v>54</v>
      </c>
      <c r="C739" t="s">
        <v>15</v>
      </c>
      <c r="D739" t="s">
        <v>6</v>
      </c>
      <c r="E739">
        <v>700</v>
      </c>
      <c r="G739">
        <f t="shared" si="30"/>
        <v>0</v>
      </c>
    </row>
    <row r="740" spans="1:7">
      <c r="A740" s="1">
        <v>45503</v>
      </c>
      <c r="B740" t="s">
        <v>54</v>
      </c>
      <c r="C740" t="s">
        <v>15</v>
      </c>
      <c r="D740" t="s">
        <v>6</v>
      </c>
      <c r="E740">
        <v>700</v>
      </c>
      <c r="G740">
        <f t="shared" si="30"/>
        <v>0</v>
      </c>
    </row>
    <row r="741" spans="1:7">
      <c r="A741" s="1">
        <v>45504</v>
      </c>
      <c r="B741" t="s">
        <v>54</v>
      </c>
      <c r="C741" t="s">
        <v>15</v>
      </c>
      <c r="D741" t="s">
        <v>6</v>
      </c>
      <c r="E741">
        <v>700</v>
      </c>
      <c r="G741">
        <f t="shared" si="30"/>
        <v>0</v>
      </c>
    </row>
    <row r="742" spans="1:7">
      <c r="A742" s="1">
        <v>45474</v>
      </c>
      <c r="B742" t="s">
        <v>54</v>
      </c>
      <c r="C742" t="s">
        <v>15</v>
      </c>
      <c r="D742" t="s">
        <v>6</v>
      </c>
      <c r="E742">
        <v>700</v>
      </c>
      <c r="G742">
        <f t="shared" si="30"/>
        <v>0</v>
      </c>
    </row>
    <row r="743" spans="1:7">
      <c r="A743" s="1">
        <v>45475</v>
      </c>
      <c r="B743" t="s">
        <v>54</v>
      </c>
      <c r="C743" t="s">
        <v>15</v>
      </c>
      <c r="D743" t="s">
        <v>6</v>
      </c>
      <c r="E743">
        <v>700</v>
      </c>
      <c r="G743">
        <f t="shared" si="30"/>
        <v>0</v>
      </c>
    </row>
    <row r="744" spans="1:7">
      <c r="A744" s="1">
        <v>45476</v>
      </c>
      <c r="B744" t="s">
        <v>54</v>
      </c>
      <c r="C744" t="s">
        <v>15</v>
      </c>
      <c r="D744" t="s">
        <v>6</v>
      </c>
      <c r="E744">
        <v>700</v>
      </c>
      <c r="G744">
        <f t="shared" si="30"/>
        <v>0</v>
      </c>
    </row>
    <row r="745" spans="1:7">
      <c r="A745" s="1">
        <v>45477</v>
      </c>
      <c r="B745" t="s">
        <v>54</v>
      </c>
      <c r="C745" t="s">
        <v>15</v>
      </c>
      <c r="D745" t="s">
        <v>6</v>
      </c>
      <c r="E745">
        <v>700</v>
      </c>
      <c r="G745">
        <f t="shared" si="30"/>
        <v>0</v>
      </c>
    </row>
    <row r="746" spans="1:7">
      <c r="A746" s="1">
        <v>45478</v>
      </c>
      <c r="B746" t="s">
        <v>54</v>
      </c>
      <c r="C746" t="s">
        <v>15</v>
      </c>
      <c r="D746" t="s">
        <v>6</v>
      </c>
      <c r="E746">
        <v>700</v>
      </c>
      <c r="G746">
        <f t="shared" si="30"/>
        <v>0</v>
      </c>
    </row>
    <row r="747" spans="1:7">
      <c r="A747" s="1">
        <v>45479</v>
      </c>
      <c r="B747" t="s">
        <v>54</v>
      </c>
      <c r="C747" t="s">
        <v>15</v>
      </c>
      <c r="D747" t="s">
        <v>6</v>
      </c>
      <c r="E747">
        <v>700</v>
      </c>
      <c r="G747">
        <f t="shared" si="30"/>
        <v>0</v>
      </c>
    </row>
    <row r="748" spans="1:7">
      <c r="A748" s="1">
        <v>45480</v>
      </c>
      <c r="B748" t="s">
        <v>54</v>
      </c>
      <c r="C748" t="s">
        <v>15</v>
      </c>
      <c r="D748" t="s">
        <v>6</v>
      </c>
      <c r="E748">
        <v>700</v>
      </c>
      <c r="G748">
        <f t="shared" si="30"/>
        <v>0</v>
      </c>
    </row>
    <row r="749" spans="1:7">
      <c r="A749" s="1">
        <v>45481</v>
      </c>
      <c r="B749" t="s">
        <v>54</v>
      </c>
      <c r="C749" t="s">
        <v>15</v>
      </c>
      <c r="D749" t="s">
        <v>6</v>
      </c>
      <c r="E749">
        <v>700</v>
      </c>
      <c r="G749">
        <f t="shared" si="30"/>
        <v>0</v>
      </c>
    </row>
    <row r="750" spans="1:7">
      <c r="A750" s="1">
        <v>45482</v>
      </c>
      <c r="B750" t="s">
        <v>54</v>
      </c>
      <c r="C750" t="s">
        <v>15</v>
      </c>
      <c r="D750" t="s">
        <v>6</v>
      </c>
      <c r="E750">
        <v>700</v>
      </c>
      <c r="G750">
        <f t="shared" si="30"/>
        <v>0</v>
      </c>
    </row>
    <row r="751" spans="1:7">
      <c r="A751" s="1">
        <v>45483</v>
      </c>
      <c r="B751" t="s">
        <v>54</v>
      </c>
      <c r="C751" t="s">
        <v>15</v>
      </c>
      <c r="D751" t="s">
        <v>6</v>
      </c>
      <c r="E751">
        <v>700</v>
      </c>
      <c r="G751">
        <f t="shared" si="30"/>
        <v>0</v>
      </c>
    </row>
    <row r="752" spans="1:7">
      <c r="A752" s="1">
        <v>45484</v>
      </c>
      <c r="B752" t="s">
        <v>54</v>
      </c>
      <c r="C752" t="s">
        <v>15</v>
      </c>
      <c r="D752" t="s">
        <v>6</v>
      </c>
      <c r="E752">
        <v>700</v>
      </c>
      <c r="G752">
        <f t="shared" si="30"/>
        <v>0</v>
      </c>
    </row>
    <row r="753" spans="1:7">
      <c r="A753" s="1">
        <v>45485</v>
      </c>
      <c r="B753" t="s">
        <v>54</v>
      </c>
      <c r="C753" t="s">
        <v>15</v>
      </c>
      <c r="D753" t="s">
        <v>6</v>
      </c>
      <c r="E753">
        <v>700</v>
      </c>
      <c r="G753">
        <f t="shared" si="30"/>
        <v>0</v>
      </c>
    </row>
    <row r="754" spans="1:7">
      <c r="A754" s="1">
        <v>45486</v>
      </c>
      <c r="B754" t="s">
        <v>54</v>
      </c>
      <c r="C754" t="s">
        <v>15</v>
      </c>
      <c r="D754" t="s">
        <v>6</v>
      </c>
      <c r="E754">
        <v>700</v>
      </c>
      <c r="G754">
        <f t="shared" si="30"/>
        <v>0</v>
      </c>
    </row>
    <row r="755" spans="1:7">
      <c r="A755" s="1">
        <v>45487</v>
      </c>
      <c r="B755" t="s">
        <v>54</v>
      </c>
      <c r="C755" t="s">
        <v>15</v>
      </c>
      <c r="D755" t="s">
        <v>6</v>
      </c>
      <c r="E755">
        <v>700</v>
      </c>
      <c r="G755">
        <f t="shared" si="30"/>
        <v>0</v>
      </c>
    </row>
    <row r="756" spans="1:7">
      <c r="A756" s="1">
        <v>45488</v>
      </c>
      <c r="B756" t="s">
        <v>54</v>
      </c>
      <c r="C756" t="s">
        <v>15</v>
      </c>
      <c r="D756" t="s">
        <v>6</v>
      </c>
      <c r="E756">
        <v>700</v>
      </c>
      <c r="G756">
        <f t="shared" si="30"/>
        <v>0</v>
      </c>
    </row>
    <row r="757" spans="1:7">
      <c r="A757" s="1">
        <v>45489</v>
      </c>
      <c r="B757" t="s">
        <v>54</v>
      </c>
      <c r="C757" t="s">
        <v>15</v>
      </c>
      <c r="D757" t="s">
        <v>6</v>
      </c>
      <c r="E757">
        <v>700</v>
      </c>
      <c r="G757">
        <f t="shared" si="30"/>
        <v>0</v>
      </c>
    </row>
    <row r="758" spans="1:7">
      <c r="A758" s="1">
        <v>45490</v>
      </c>
      <c r="B758" t="s">
        <v>54</v>
      </c>
      <c r="C758" t="s">
        <v>15</v>
      </c>
      <c r="D758" t="s">
        <v>6</v>
      </c>
      <c r="E758">
        <v>700</v>
      </c>
      <c r="G758">
        <f t="shared" si="30"/>
        <v>0</v>
      </c>
    </row>
    <row r="759" spans="1:7">
      <c r="A759" s="1">
        <v>45491</v>
      </c>
      <c r="B759" t="s">
        <v>54</v>
      </c>
      <c r="C759" t="s">
        <v>15</v>
      </c>
      <c r="D759" t="s">
        <v>6</v>
      </c>
      <c r="E759">
        <v>700</v>
      </c>
      <c r="G759">
        <f t="shared" si="30"/>
        <v>0</v>
      </c>
    </row>
    <row r="760" spans="1:7">
      <c r="A760" s="1">
        <v>45492</v>
      </c>
      <c r="B760" t="s">
        <v>54</v>
      </c>
      <c r="C760" t="s">
        <v>15</v>
      </c>
      <c r="D760" t="s">
        <v>6</v>
      </c>
      <c r="E760">
        <v>700</v>
      </c>
      <c r="G760">
        <f t="shared" si="30"/>
        <v>0</v>
      </c>
    </row>
    <row r="761" spans="1:7">
      <c r="A761" s="1">
        <v>45493</v>
      </c>
      <c r="B761" t="s">
        <v>54</v>
      </c>
      <c r="C761" t="s">
        <v>15</v>
      </c>
      <c r="D761" t="s">
        <v>6</v>
      </c>
      <c r="E761">
        <v>700</v>
      </c>
      <c r="G761">
        <f t="shared" si="30"/>
        <v>0</v>
      </c>
    </row>
    <row r="762" spans="1:7">
      <c r="A762" s="1">
        <v>45494</v>
      </c>
      <c r="B762" t="s">
        <v>54</v>
      </c>
      <c r="C762" t="s">
        <v>15</v>
      </c>
      <c r="D762" t="s">
        <v>6</v>
      </c>
      <c r="E762">
        <v>700</v>
      </c>
      <c r="G762">
        <f t="shared" si="30"/>
        <v>0</v>
      </c>
    </row>
    <row r="763" spans="1:7">
      <c r="A763" s="1">
        <v>45495</v>
      </c>
      <c r="B763" t="s">
        <v>54</v>
      </c>
      <c r="C763" t="s">
        <v>15</v>
      </c>
      <c r="D763" t="s">
        <v>6</v>
      </c>
      <c r="E763">
        <v>700</v>
      </c>
      <c r="G763">
        <f t="shared" si="30"/>
        <v>0</v>
      </c>
    </row>
    <row r="764" spans="1:7">
      <c r="A764" s="1">
        <v>45496</v>
      </c>
      <c r="B764" t="s">
        <v>54</v>
      </c>
      <c r="C764" t="s">
        <v>15</v>
      </c>
      <c r="D764" t="s">
        <v>6</v>
      </c>
      <c r="E764">
        <v>700</v>
      </c>
      <c r="G764">
        <f t="shared" si="30"/>
        <v>0</v>
      </c>
    </row>
    <row r="765" spans="1:7">
      <c r="A765" s="1">
        <v>45497</v>
      </c>
      <c r="B765" t="s">
        <v>54</v>
      </c>
      <c r="C765" t="s">
        <v>15</v>
      </c>
      <c r="D765" t="s">
        <v>6</v>
      </c>
      <c r="E765">
        <v>700</v>
      </c>
      <c r="G765">
        <f t="shared" si="30"/>
        <v>0</v>
      </c>
    </row>
    <row r="766" spans="1:7">
      <c r="A766" s="1">
        <v>45498</v>
      </c>
      <c r="B766" t="s">
        <v>54</v>
      </c>
      <c r="C766" t="s">
        <v>15</v>
      </c>
      <c r="D766" t="s">
        <v>6</v>
      </c>
      <c r="E766">
        <v>700</v>
      </c>
      <c r="G766">
        <f t="shared" si="30"/>
        <v>0</v>
      </c>
    </row>
    <row r="767" spans="1:7">
      <c r="A767" s="1">
        <v>45499</v>
      </c>
      <c r="B767" t="s">
        <v>54</v>
      </c>
      <c r="C767" t="s">
        <v>15</v>
      </c>
      <c r="D767" t="s">
        <v>6</v>
      </c>
      <c r="E767">
        <v>700</v>
      </c>
      <c r="G767">
        <f t="shared" si="30"/>
        <v>0</v>
      </c>
    </row>
    <row r="768" spans="1:7">
      <c r="A768" s="1">
        <v>45500</v>
      </c>
      <c r="B768" t="s">
        <v>54</v>
      </c>
      <c r="C768" t="s">
        <v>15</v>
      </c>
      <c r="D768" t="s">
        <v>6</v>
      </c>
      <c r="E768">
        <v>700</v>
      </c>
      <c r="G768">
        <f t="shared" si="30"/>
        <v>0</v>
      </c>
    </row>
    <row r="769" spans="1:7">
      <c r="A769" s="1">
        <v>45501</v>
      </c>
      <c r="B769" t="s">
        <v>54</v>
      </c>
      <c r="C769" t="s">
        <v>15</v>
      </c>
      <c r="D769" t="s">
        <v>6</v>
      </c>
      <c r="E769">
        <v>700</v>
      </c>
      <c r="G769">
        <f t="shared" si="30"/>
        <v>0</v>
      </c>
    </row>
    <row r="770" spans="1:7">
      <c r="A770" s="1">
        <v>45502</v>
      </c>
      <c r="B770" t="s">
        <v>54</v>
      </c>
      <c r="C770" t="s">
        <v>15</v>
      </c>
      <c r="D770" t="s">
        <v>6</v>
      </c>
      <c r="E770">
        <v>700</v>
      </c>
      <c r="G770">
        <f t="shared" si="30"/>
        <v>0</v>
      </c>
    </row>
    <row r="771" spans="1:7">
      <c r="A771" s="1">
        <v>45503</v>
      </c>
      <c r="B771" t="s">
        <v>54</v>
      </c>
      <c r="C771" t="s">
        <v>15</v>
      </c>
      <c r="D771" t="s">
        <v>6</v>
      </c>
      <c r="E771">
        <v>700</v>
      </c>
      <c r="G771">
        <f t="shared" ref="G771:G834" si="31">F771*E771</f>
        <v>0</v>
      </c>
    </row>
    <row r="772" spans="1:7">
      <c r="A772" s="1">
        <v>45504</v>
      </c>
      <c r="B772" t="s">
        <v>54</v>
      </c>
      <c r="C772" t="s">
        <v>15</v>
      </c>
      <c r="D772" t="s">
        <v>6</v>
      </c>
      <c r="E772">
        <v>700</v>
      </c>
      <c r="G772">
        <f t="shared" si="31"/>
        <v>0</v>
      </c>
    </row>
    <row r="773" spans="1:7">
      <c r="A773" s="1">
        <v>45474</v>
      </c>
      <c r="B773" t="s">
        <v>54</v>
      </c>
      <c r="C773" t="s">
        <v>15</v>
      </c>
      <c r="D773" t="s">
        <v>9</v>
      </c>
      <c r="E773">
        <v>69.52</v>
      </c>
      <c r="G773">
        <f t="shared" si="31"/>
        <v>0</v>
      </c>
    </row>
    <row r="774" spans="1:7">
      <c r="A774" s="1">
        <v>45475</v>
      </c>
      <c r="B774" t="s">
        <v>54</v>
      </c>
      <c r="C774" t="s">
        <v>15</v>
      </c>
      <c r="D774" t="s">
        <v>9</v>
      </c>
      <c r="E774">
        <v>69.52</v>
      </c>
      <c r="G774">
        <f t="shared" si="31"/>
        <v>0</v>
      </c>
    </row>
    <row r="775" spans="1:7">
      <c r="A775" s="1">
        <v>45476</v>
      </c>
      <c r="B775" t="s">
        <v>54</v>
      </c>
      <c r="C775" t="s">
        <v>15</v>
      </c>
      <c r="D775" t="s">
        <v>9</v>
      </c>
      <c r="E775">
        <v>69.52</v>
      </c>
      <c r="G775">
        <f t="shared" si="31"/>
        <v>0</v>
      </c>
    </row>
    <row r="776" spans="1:7">
      <c r="A776" s="1">
        <v>45477</v>
      </c>
      <c r="B776" t="s">
        <v>54</v>
      </c>
      <c r="C776" t="s">
        <v>15</v>
      </c>
      <c r="D776" t="s">
        <v>9</v>
      </c>
      <c r="E776">
        <v>69.52</v>
      </c>
      <c r="G776">
        <f t="shared" si="31"/>
        <v>0</v>
      </c>
    </row>
    <row r="777" spans="1:7">
      <c r="A777" s="1">
        <v>45478</v>
      </c>
      <c r="B777" t="s">
        <v>54</v>
      </c>
      <c r="C777" t="s">
        <v>15</v>
      </c>
      <c r="D777" t="s">
        <v>9</v>
      </c>
      <c r="E777">
        <v>69.52</v>
      </c>
      <c r="G777">
        <f t="shared" si="31"/>
        <v>0</v>
      </c>
    </row>
    <row r="778" spans="1:7">
      <c r="A778" s="1">
        <v>45479</v>
      </c>
      <c r="B778" t="s">
        <v>54</v>
      </c>
      <c r="C778" t="s">
        <v>15</v>
      </c>
      <c r="D778" t="s">
        <v>9</v>
      </c>
      <c r="E778">
        <v>69.52</v>
      </c>
      <c r="G778">
        <f t="shared" si="31"/>
        <v>0</v>
      </c>
    </row>
    <row r="779" spans="1:7">
      <c r="A779" s="1">
        <v>45480</v>
      </c>
      <c r="B779" t="s">
        <v>54</v>
      </c>
      <c r="C779" t="s">
        <v>15</v>
      </c>
      <c r="D779" t="s">
        <v>9</v>
      </c>
      <c r="E779">
        <v>69.52</v>
      </c>
      <c r="G779">
        <f t="shared" si="31"/>
        <v>0</v>
      </c>
    </row>
    <row r="780" spans="1:7">
      <c r="A780" s="1">
        <v>45481</v>
      </c>
      <c r="B780" t="s">
        <v>54</v>
      </c>
      <c r="C780" t="s">
        <v>15</v>
      </c>
      <c r="D780" t="s">
        <v>9</v>
      </c>
      <c r="E780">
        <v>69.52</v>
      </c>
      <c r="G780">
        <f t="shared" si="31"/>
        <v>0</v>
      </c>
    </row>
    <row r="781" spans="1:7">
      <c r="A781" s="1">
        <v>45482</v>
      </c>
      <c r="B781" t="s">
        <v>54</v>
      </c>
      <c r="C781" t="s">
        <v>15</v>
      </c>
      <c r="D781" t="s">
        <v>9</v>
      </c>
      <c r="E781">
        <v>69.52</v>
      </c>
      <c r="G781">
        <f t="shared" si="31"/>
        <v>0</v>
      </c>
    </row>
    <row r="782" spans="1:7">
      <c r="A782" s="1">
        <v>45483</v>
      </c>
      <c r="B782" t="s">
        <v>54</v>
      </c>
      <c r="C782" t="s">
        <v>15</v>
      </c>
      <c r="D782" t="s">
        <v>9</v>
      </c>
      <c r="E782">
        <v>69.52</v>
      </c>
      <c r="G782">
        <f t="shared" si="31"/>
        <v>0</v>
      </c>
    </row>
    <row r="783" spans="1:7">
      <c r="A783" s="1">
        <v>45484</v>
      </c>
      <c r="B783" t="s">
        <v>54</v>
      </c>
      <c r="C783" t="s">
        <v>15</v>
      </c>
      <c r="D783" t="s">
        <v>9</v>
      </c>
      <c r="E783">
        <v>69.52</v>
      </c>
      <c r="G783">
        <f t="shared" si="31"/>
        <v>0</v>
      </c>
    </row>
    <row r="784" spans="1:7">
      <c r="A784" s="1">
        <v>45485</v>
      </c>
      <c r="B784" t="s">
        <v>54</v>
      </c>
      <c r="C784" t="s">
        <v>15</v>
      </c>
      <c r="D784" t="s">
        <v>9</v>
      </c>
      <c r="E784">
        <v>69.52</v>
      </c>
      <c r="G784">
        <f t="shared" si="31"/>
        <v>0</v>
      </c>
    </row>
    <row r="785" spans="1:7">
      <c r="A785" s="1">
        <v>45486</v>
      </c>
      <c r="B785" t="s">
        <v>54</v>
      </c>
      <c r="C785" t="s">
        <v>15</v>
      </c>
      <c r="D785" t="s">
        <v>9</v>
      </c>
      <c r="E785">
        <v>69.52</v>
      </c>
      <c r="G785">
        <f t="shared" si="31"/>
        <v>0</v>
      </c>
    </row>
    <row r="786" spans="1:7">
      <c r="A786" s="1">
        <v>45487</v>
      </c>
      <c r="B786" t="s">
        <v>54</v>
      </c>
      <c r="C786" t="s">
        <v>15</v>
      </c>
      <c r="D786" t="s">
        <v>9</v>
      </c>
      <c r="E786">
        <v>69.52</v>
      </c>
      <c r="G786">
        <f t="shared" si="31"/>
        <v>0</v>
      </c>
    </row>
    <row r="787" spans="1:7">
      <c r="A787" s="1">
        <v>45488</v>
      </c>
      <c r="B787" t="s">
        <v>54</v>
      </c>
      <c r="C787" t="s">
        <v>15</v>
      </c>
      <c r="D787" t="s">
        <v>9</v>
      </c>
      <c r="E787">
        <v>69.52</v>
      </c>
      <c r="G787">
        <f t="shared" si="31"/>
        <v>0</v>
      </c>
    </row>
    <row r="788" spans="1:7">
      <c r="A788" s="1">
        <v>45489</v>
      </c>
      <c r="B788" t="s">
        <v>54</v>
      </c>
      <c r="C788" t="s">
        <v>15</v>
      </c>
      <c r="D788" t="s">
        <v>9</v>
      </c>
      <c r="E788">
        <v>69.52</v>
      </c>
      <c r="G788">
        <f t="shared" si="31"/>
        <v>0</v>
      </c>
    </row>
    <row r="789" spans="1:7">
      <c r="A789" s="1">
        <v>45490</v>
      </c>
      <c r="B789" t="s">
        <v>54</v>
      </c>
      <c r="C789" t="s">
        <v>15</v>
      </c>
      <c r="D789" t="s">
        <v>9</v>
      </c>
      <c r="E789">
        <v>69.52</v>
      </c>
      <c r="G789">
        <f t="shared" si="31"/>
        <v>0</v>
      </c>
    </row>
    <row r="790" spans="1:7">
      <c r="A790" s="1">
        <v>45491</v>
      </c>
      <c r="B790" t="s">
        <v>54</v>
      </c>
      <c r="C790" t="s">
        <v>15</v>
      </c>
      <c r="D790" t="s">
        <v>9</v>
      </c>
      <c r="E790">
        <v>69.52</v>
      </c>
      <c r="G790">
        <f t="shared" si="31"/>
        <v>0</v>
      </c>
    </row>
    <row r="791" spans="1:7">
      <c r="A791" s="1">
        <v>45492</v>
      </c>
      <c r="B791" t="s">
        <v>54</v>
      </c>
      <c r="C791" t="s">
        <v>15</v>
      </c>
      <c r="D791" t="s">
        <v>9</v>
      </c>
      <c r="E791">
        <v>69.52</v>
      </c>
      <c r="G791">
        <f t="shared" si="31"/>
        <v>0</v>
      </c>
    </row>
    <row r="792" spans="1:7">
      <c r="A792" s="1">
        <v>45493</v>
      </c>
      <c r="B792" t="s">
        <v>54</v>
      </c>
      <c r="C792" t="s">
        <v>15</v>
      </c>
      <c r="D792" t="s">
        <v>9</v>
      </c>
      <c r="E792">
        <v>69.52</v>
      </c>
      <c r="G792">
        <f t="shared" si="31"/>
        <v>0</v>
      </c>
    </row>
    <row r="793" spans="1:7">
      <c r="A793" s="1">
        <v>45494</v>
      </c>
      <c r="B793" t="s">
        <v>54</v>
      </c>
      <c r="C793" t="s">
        <v>15</v>
      </c>
      <c r="D793" t="s">
        <v>9</v>
      </c>
      <c r="E793">
        <v>69.52</v>
      </c>
      <c r="G793">
        <f t="shared" si="31"/>
        <v>0</v>
      </c>
    </row>
    <row r="794" spans="1:7">
      <c r="A794" s="1">
        <v>45495</v>
      </c>
      <c r="B794" t="s">
        <v>54</v>
      </c>
      <c r="C794" t="s">
        <v>15</v>
      </c>
      <c r="D794" t="s">
        <v>9</v>
      </c>
      <c r="E794">
        <v>69.52</v>
      </c>
      <c r="G794">
        <f t="shared" si="31"/>
        <v>0</v>
      </c>
    </row>
    <row r="795" spans="1:7">
      <c r="A795" s="1">
        <v>45496</v>
      </c>
      <c r="B795" t="s">
        <v>54</v>
      </c>
      <c r="C795" t="s">
        <v>15</v>
      </c>
      <c r="D795" t="s">
        <v>9</v>
      </c>
      <c r="E795">
        <v>69.52</v>
      </c>
      <c r="G795">
        <f t="shared" si="31"/>
        <v>0</v>
      </c>
    </row>
    <row r="796" spans="1:7">
      <c r="A796" s="1">
        <v>45497</v>
      </c>
      <c r="B796" t="s">
        <v>54</v>
      </c>
      <c r="C796" t="s">
        <v>15</v>
      </c>
      <c r="D796" t="s">
        <v>9</v>
      </c>
      <c r="E796">
        <v>69.52</v>
      </c>
      <c r="G796">
        <f t="shared" si="31"/>
        <v>0</v>
      </c>
    </row>
    <row r="797" spans="1:7">
      <c r="A797" s="1">
        <v>45498</v>
      </c>
      <c r="B797" t="s">
        <v>54</v>
      </c>
      <c r="C797" t="s">
        <v>15</v>
      </c>
      <c r="D797" t="s">
        <v>9</v>
      </c>
      <c r="E797">
        <v>69.52</v>
      </c>
      <c r="G797">
        <f t="shared" si="31"/>
        <v>0</v>
      </c>
    </row>
    <row r="798" spans="1:7">
      <c r="A798" s="1">
        <v>45499</v>
      </c>
      <c r="B798" t="s">
        <v>54</v>
      </c>
      <c r="C798" t="s">
        <v>15</v>
      </c>
      <c r="D798" t="s">
        <v>9</v>
      </c>
      <c r="E798">
        <v>69.52</v>
      </c>
      <c r="G798">
        <f t="shared" si="31"/>
        <v>0</v>
      </c>
    </row>
    <row r="799" spans="1:7">
      <c r="A799" s="1">
        <v>45500</v>
      </c>
      <c r="B799" t="s">
        <v>54</v>
      </c>
      <c r="C799" t="s">
        <v>15</v>
      </c>
      <c r="D799" t="s">
        <v>9</v>
      </c>
      <c r="E799">
        <v>69.52</v>
      </c>
      <c r="G799">
        <f t="shared" si="31"/>
        <v>0</v>
      </c>
    </row>
    <row r="800" spans="1:7">
      <c r="A800" s="1">
        <v>45501</v>
      </c>
      <c r="B800" t="s">
        <v>54</v>
      </c>
      <c r="C800" t="s">
        <v>15</v>
      </c>
      <c r="D800" t="s">
        <v>9</v>
      </c>
      <c r="E800">
        <v>69.52</v>
      </c>
      <c r="G800">
        <f t="shared" si="31"/>
        <v>0</v>
      </c>
    </row>
    <row r="801" spans="1:7">
      <c r="A801" s="1">
        <v>45502</v>
      </c>
      <c r="B801" t="s">
        <v>54</v>
      </c>
      <c r="C801" t="s">
        <v>15</v>
      </c>
      <c r="D801" t="s">
        <v>9</v>
      </c>
      <c r="E801">
        <v>69.52</v>
      </c>
      <c r="G801">
        <f t="shared" si="31"/>
        <v>0</v>
      </c>
    </row>
    <row r="802" spans="1:7">
      <c r="A802" s="1">
        <v>45503</v>
      </c>
      <c r="B802" t="s">
        <v>54</v>
      </c>
      <c r="C802" t="s">
        <v>15</v>
      </c>
      <c r="D802" t="s">
        <v>9</v>
      </c>
      <c r="E802">
        <v>69.52</v>
      </c>
      <c r="G802">
        <f t="shared" si="31"/>
        <v>0</v>
      </c>
    </row>
    <row r="803" spans="1:7">
      <c r="A803" s="1">
        <v>45504</v>
      </c>
      <c r="B803" t="s">
        <v>54</v>
      </c>
      <c r="C803" t="s">
        <v>15</v>
      </c>
      <c r="D803" t="s">
        <v>9</v>
      </c>
      <c r="E803">
        <v>69.52</v>
      </c>
      <c r="G803">
        <f t="shared" si="31"/>
        <v>0</v>
      </c>
    </row>
    <row r="804" spans="1:7">
      <c r="A804" s="1">
        <v>45474</v>
      </c>
      <c r="B804" t="s">
        <v>54</v>
      </c>
      <c r="C804" t="s">
        <v>15</v>
      </c>
      <c r="D804" t="s">
        <v>8</v>
      </c>
      <c r="E804">
        <v>0.25</v>
      </c>
      <c r="G804">
        <f t="shared" si="31"/>
        <v>0</v>
      </c>
    </row>
    <row r="805" spans="1:7">
      <c r="A805" s="1">
        <v>45475</v>
      </c>
      <c r="B805" t="s">
        <v>54</v>
      </c>
      <c r="C805" t="s">
        <v>15</v>
      </c>
      <c r="D805" t="s">
        <v>8</v>
      </c>
      <c r="E805">
        <v>0.25</v>
      </c>
      <c r="G805">
        <f t="shared" si="31"/>
        <v>0</v>
      </c>
    </row>
    <row r="806" spans="1:7">
      <c r="A806" s="1">
        <v>45476</v>
      </c>
      <c r="B806" t="s">
        <v>54</v>
      </c>
      <c r="C806" t="s">
        <v>15</v>
      </c>
      <c r="D806" t="s">
        <v>8</v>
      </c>
      <c r="E806">
        <v>0.25</v>
      </c>
      <c r="G806">
        <f t="shared" si="31"/>
        <v>0</v>
      </c>
    </row>
    <row r="807" spans="1:7">
      <c r="A807" s="1">
        <v>45477</v>
      </c>
      <c r="B807" t="s">
        <v>54</v>
      </c>
      <c r="C807" t="s">
        <v>15</v>
      </c>
      <c r="D807" t="s">
        <v>8</v>
      </c>
      <c r="E807">
        <v>0.25</v>
      </c>
      <c r="G807">
        <f t="shared" si="31"/>
        <v>0</v>
      </c>
    </row>
    <row r="808" spans="1:7">
      <c r="A808" s="1">
        <v>45478</v>
      </c>
      <c r="B808" t="s">
        <v>54</v>
      </c>
      <c r="C808" t="s">
        <v>15</v>
      </c>
      <c r="D808" t="s">
        <v>8</v>
      </c>
      <c r="E808">
        <v>0.25</v>
      </c>
      <c r="G808">
        <f t="shared" si="31"/>
        <v>0</v>
      </c>
    </row>
    <row r="809" spans="1:7">
      <c r="A809" s="1">
        <v>45479</v>
      </c>
      <c r="B809" t="s">
        <v>54</v>
      </c>
      <c r="C809" t="s">
        <v>15</v>
      </c>
      <c r="D809" t="s">
        <v>8</v>
      </c>
      <c r="E809">
        <v>0.25</v>
      </c>
      <c r="G809">
        <f t="shared" si="31"/>
        <v>0</v>
      </c>
    </row>
    <row r="810" spans="1:7">
      <c r="A810" s="1">
        <v>45480</v>
      </c>
      <c r="B810" t="s">
        <v>54</v>
      </c>
      <c r="C810" t="s">
        <v>15</v>
      </c>
      <c r="D810" t="s">
        <v>8</v>
      </c>
      <c r="E810">
        <v>0.25</v>
      </c>
      <c r="G810">
        <f t="shared" si="31"/>
        <v>0</v>
      </c>
    </row>
    <row r="811" spans="1:7">
      <c r="A811" s="1">
        <v>45481</v>
      </c>
      <c r="B811" t="s">
        <v>54</v>
      </c>
      <c r="C811" t="s">
        <v>15</v>
      </c>
      <c r="D811" t="s">
        <v>8</v>
      </c>
      <c r="E811">
        <v>0.25</v>
      </c>
      <c r="G811">
        <f t="shared" si="31"/>
        <v>0</v>
      </c>
    </row>
    <row r="812" spans="1:7">
      <c r="A812" s="1">
        <v>45482</v>
      </c>
      <c r="B812" t="s">
        <v>54</v>
      </c>
      <c r="C812" t="s">
        <v>15</v>
      </c>
      <c r="D812" t="s">
        <v>8</v>
      </c>
      <c r="E812">
        <v>0.25</v>
      </c>
      <c r="G812">
        <f t="shared" si="31"/>
        <v>0</v>
      </c>
    </row>
    <row r="813" spans="1:7">
      <c r="A813" s="1">
        <v>45483</v>
      </c>
      <c r="B813" t="s">
        <v>54</v>
      </c>
      <c r="C813" t="s">
        <v>15</v>
      </c>
      <c r="D813" t="s">
        <v>8</v>
      </c>
      <c r="E813">
        <v>0.25</v>
      </c>
      <c r="G813">
        <f t="shared" si="31"/>
        <v>0</v>
      </c>
    </row>
    <row r="814" spans="1:7">
      <c r="A814" s="1">
        <v>45484</v>
      </c>
      <c r="B814" t="s">
        <v>54</v>
      </c>
      <c r="C814" t="s">
        <v>15</v>
      </c>
      <c r="D814" t="s">
        <v>8</v>
      </c>
      <c r="E814">
        <v>0.25</v>
      </c>
      <c r="G814">
        <f t="shared" si="31"/>
        <v>0</v>
      </c>
    </row>
    <row r="815" spans="1:7">
      <c r="A815" s="1">
        <v>45485</v>
      </c>
      <c r="B815" t="s">
        <v>54</v>
      </c>
      <c r="C815" t="s">
        <v>15</v>
      </c>
      <c r="D815" t="s">
        <v>8</v>
      </c>
      <c r="E815">
        <v>0.25</v>
      </c>
      <c r="G815">
        <f t="shared" si="31"/>
        <v>0</v>
      </c>
    </row>
    <row r="816" spans="1:7">
      <c r="A816" s="1">
        <v>45486</v>
      </c>
      <c r="B816" t="s">
        <v>54</v>
      </c>
      <c r="C816" t="s">
        <v>15</v>
      </c>
      <c r="D816" t="s">
        <v>8</v>
      </c>
      <c r="E816">
        <v>0.25</v>
      </c>
      <c r="G816">
        <f t="shared" si="31"/>
        <v>0</v>
      </c>
    </row>
    <row r="817" spans="1:7">
      <c r="A817" s="1">
        <v>45487</v>
      </c>
      <c r="B817" t="s">
        <v>54</v>
      </c>
      <c r="C817" t="s">
        <v>15</v>
      </c>
      <c r="D817" t="s">
        <v>8</v>
      </c>
      <c r="E817">
        <v>0.25</v>
      </c>
      <c r="G817">
        <f t="shared" si="31"/>
        <v>0</v>
      </c>
    </row>
    <row r="818" spans="1:7">
      <c r="A818" s="1">
        <v>45488</v>
      </c>
      <c r="B818" t="s">
        <v>54</v>
      </c>
      <c r="C818" t="s">
        <v>15</v>
      </c>
      <c r="D818" t="s">
        <v>8</v>
      </c>
      <c r="E818">
        <v>0.25</v>
      </c>
      <c r="G818">
        <f t="shared" si="31"/>
        <v>0</v>
      </c>
    </row>
    <row r="819" spans="1:7">
      <c r="A819" s="1">
        <v>45489</v>
      </c>
      <c r="B819" t="s">
        <v>54</v>
      </c>
      <c r="C819" t="s">
        <v>15</v>
      </c>
      <c r="D819" t="s">
        <v>8</v>
      </c>
      <c r="E819">
        <v>0.25</v>
      </c>
      <c r="G819">
        <f t="shared" si="31"/>
        <v>0</v>
      </c>
    </row>
    <row r="820" spans="1:7">
      <c r="A820" s="1">
        <v>45490</v>
      </c>
      <c r="B820" t="s">
        <v>54</v>
      </c>
      <c r="C820" t="s">
        <v>15</v>
      </c>
      <c r="D820" t="s">
        <v>8</v>
      </c>
      <c r="E820">
        <v>0.25</v>
      </c>
      <c r="G820">
        <f t="shared" si="31"/>
        <v>0</v>
      </c>
    </row>
    <row r="821" spans="1:7">
      <c r="A821" s="1">
        <v>45491</v>
      </c>
      <c r="B821" t="s">
        <v>54</v>
      </c>
      <c r="C821" t="s">
        <v>15</v>
      </c>
      <c r="D821" t="s">
        <v>8</v>
      </c>
      <c r="E821">
        <v>0.25</v>
      </c>
      <c r="G821">
        <f t="shared" si="31"/>
        <v>0</v>
      </c>
    </row>
    <row r="822" spans="1:7">
      <c r="A822" s="1">
        <v>45492</v>
      </c>
      <c r="B822" t="s">
        <v>54</v>
      </c>
      <c r="C822" t="s">
        <v>15</v>
      </c>
      <c r="D822" t="s">
        <v>8</v>
      </c>
      <c r="E822">
        <v>0.25</v>
      </c>
      <c r="G822">
        <f t="shared" si="31"/>
        <v>0</v>
      </c>
    </row>
    <row r="823" spans="1:7">
      <c r="A823" s="1">
        <v>45493</v>
      </c>
      <c r="B823" t="s">
        <v>54</v>
      </c>
      <c r="C823" t="s">
        <v>15</v>
      </c>
      <c r="D823" t="s">
        <v>8</v>
      </c>
      <c r="E823">
        <v>0.25</v>
      </c>
      <c r="G823">
        <f t="shared" si="31"/>
        <v>0</v>
      </c>
    </row>
    <row r="824" spans="1:7">
      <c r="A824" s="1">
        <v>45494</v>
      </c>
      <c r="B824" t="s">
        <v>54</v>
      </c>
      <c r="C824" t="s">
        <v>15</v>
      </c>
      <c r="D824" t="s">
        <v>8</v>
      </c>
      <c r="E824">
        <v>0.25</v>
      </c>
      <c r="G824">
        <f t="shared" si="31"/>
        <v>0</v>
      </c>
    </row>
    <row r="825" spans="1:7">
      <c r="A825" s="1">
        <v>45495</v>
      </c>
      <c r="B825" t="s">
        <v>54</v>
      </c>
      <c r="C825" t="s">
        <v>15</v>
      </c>
      <c r="D825" t="s">
        <v>8</v>
      </c>
      <c r="E825">
        <v>0.25</v>
      </c>
      <c r="G825">
        <f t="shared" si="31"/>
        <v>0</v>
      </c>
    </row>
    <row r="826" spans="1:7">
      <c r="A826" s="1">
        <v>45496</v>
      </c>
      <c r="B826" t="s">
        <v>54</v>
      </c>
      <c r="C826" t="s">
        <v>15</v>
      </c>
      <c r="D826" t="s">
        <v>8</v>
      </c>
      <c r="E826">
        <v>0.25</v>
      </c>
      <c r="G826">
        <f t="shared" si="31"/>
        <v>0</v>
      </c>
    </row>
    <row r="827" spans="1:7">
      <c r="A827" s="1">
        <v>45497</v>
      </c>
      <c r="B827" t="s">
        <v>54</v>
      </c>
      <c r="C827" t="s">
        <v>15</v>
      </c>
      <c r="D827" t="s">
        <v>8</v>
      </c>
      <c r="E827">
        <v>0.25</v>
      </c>
      <c r="G827">
        <f t="shared" si="31"/>
        <v>0</v>
      </c>
    </row>
    <row r="828" spans="1:7">
      <c r="A828" s="1">
        <v>45498</v>
      </c>
      <c r="B828" t="s">
        <v>54</v>
      </c>
      <c r="C828" t="s">
        <v>15</v>
      </c>
      <c r="D828" t="s">
        <v>8</v>
      </c>
      <c r="E828">
        <v>0.25</v>
      </c>
      <c r="G828">
        <f t="shared" si="31"/>
        <v>0</v>
      </c>
    </row>
    <row r="829" spans="1:7">
      <c r="A829" s="1">
        <v>45499</v>
      </c>
      <c r="B829" t="s">
        <v>54</v>
      </c>
      <c r="C829" t="s">
        <v>15</v>
      </c>
      <c r="D829" t="s">
        <v>8</v>
      </c>
      <c r="E829">
        <v>0.25</v>
      </c>
      <c r="G829">
        <f t="shared" si="31"/>
        <v>0</v>
      </c>
    </row>
    <row r="830" spans="1:7">
      <c r="A830" s="1">
        <v>45500</v>
      </c>
      <c r="B830" t="s">
        <v>54</v>
      </c>
      <c r="C830" t="s">
        <v>15</v>
      </c>
      <c r="D830" t="s">
        <v>8</v>
      </c>
      <c r="E830">
        <v>0.25</v>
      </c>
      <c r="G830">
        <f t="shared" si="31"/>
        <v>0</v>
      </c>
    </row>
    <row r="831" spans="1:7">
      <c r="A831" s="1">
        <v>45501</v>
      </c>
      <c r="B831" t="s">
        <v>54</v>
      </c>
      <c r="C831" t="s">
        <v>15</v>
      </c>
      <c r="D831" t="s">
        <v>8</v>
      </c>
      <c r="E831">
        <v>0.25</v>
      </c>
      <c r="G831">
        <f t="shared" si="31"/>
        <v>0</v>
      </c>
    </row>
    <row r="832" spans="1:7">
      <c r="A832" s="1">
        <v>45502</v>
      </c>
      <c r="B832" t="s">
        <v>54</v>
      </c>
      <c r="C832" t="s">
        <v>15</v>
      </c>
      <c r="D832" t="s">
        <v>8</v>
      </c>
      <c r="E832">
        <v>0.25</v>
      </c>
      <c r="G832">
        <f t="shared" si="31"/>
        <v>0</v>
      </c>
    </row>
    <row r="833" spans="1:7">
      <c r="A833" s="1">
        <v>45503</v>
      </c>
      <c r="B833" t="s">
        <v>54</v>
      </c>
      <c r="C833" t="s">
        <v>15</v>
      </c>
      <c r="D833" t="s">
        <v>8</v>
      </c>
      <c r="E833">
        <v>0.25</v>
      </c>
      <c r="G833">
        <f t="shared" si="31"/>
        <v>0</v>
      </c>
    </row>
    <row r="834" spans="1:7">
      <c r="A834" s="1">
        <v>45504</v>
      </c>
      <c r="B834" t="s">
        <v>54</v>
      </c>
      <c r="C834" t="s">
        <v>15</v>
      </c>
      <c r="D834" t="s">
        <v>8</v>
      </c>
      <c r="E834">
        <v>0.25</v>
      </c>
      <c r="G834">
        <f t="shared" si="31"/>
        <v>0</v>
      </c>
    </row>
    <row r="835" spans="1:7">
      <c r="A835" s="1">
        <v>45474</v>
      </c>
      <c r="B835" t="s">
        <v>54</v>
      </c>
      <c r="C835" t="s">
        <v>15</v>
      </c>
      <c r="D835" t="s">
        <v>7</v>
      </c>
      <c r="E835">
        <v>120</v>
      </c>
      <c r="F835" s="7">
        <v>0</v>
      </c>
      <c r="G835">
        <f t="shared" ref="G835:G898" si="32">F835*E835</f>
        <v>0</v>
      </c>
    </row>
    <row r="836" spans="1:7">
      <c r="A836" s="1">
        <v>45475</v>
      </c>
      <c r="B836" t="s">
        <v>54</v>
      </c>
      <c r="C836" t="s">
        <v>15</v>
      </c>
      <c r="D836" t="s">
        <v>7</v>
      </c>
      <c r="E836">
        <v>120</v>
      </c>
      <c r="F836" s="7">
        <v>0</v>
      </c>
      <c r="G836">
        <f t="shared" si="32"/>
        <v>0</v>
      </c>
    </row>
    <row r="837" spans="1:7">
      <c r="A837" s="1">
        <v>45476</v>
      </c>
      <c r="B837" t="s">
        <v>54</v>
      </c>
      <c r="C837" t="s">
        <v>15</v>
      </c>
      <c r="D837" t="s">
        <v>7</v>
      </c>
      <c r="E837">
        <v>120</v>
      </c>
      <c r="F837" s="7">
        <v>0</v>
      </c>
      <c r="G837">
        <f t="shared" si="32"/>
        <v>0</v>
      </c>
    </row>
    <row r="838" spans="1:7">
      <c r="A838" s="1">
        <v>45477</v>
      </c>
      <c r="B838" t="s">
        <v>54</v>
      </c>
      <c r="C838" t="s">
        <v>15</v>
      </c>
      <c r="D838" t="s">
        <v>7</v>
      </c>
      <c r="E838">
        <v>120</v>
      </c>
      <c r="F838" s="7">
        <v>0</v>
      </c>
      <c r="G838">
        <f t="shared" si="32"/>
        <v>0</v>
      </c>
    </row>
    <row r="839" spans="1:7">
      <c r="A839" s="1">
        <v>45478</v>
      </c>
      <c r="B839" t="s">
        <v>54</v>
      </c>
      <c r="C839" t="s">
        <v>15</v>
      </c>
      <c r="D839" t="s">
        <v>7</v>
      </c>
      <c r="E839">
        <v>120</v>
      </c>
      <c r="F839" s="7">
        <v>0</v>
      </c>
      <c r="G839">
        <f t="shared" si="32"/>
        <v>0</v>
      </c>
    </row>
    <row r="840" spans="1:7">
      <c r="A840" s="1">
        <v>45479</v>
      </c>
      <c r="B840" t="s">
        <v>54</v>
      </c>
      <c r="C840" t="s">
        <v>15</v>
      </c>
      <c r="D840" t="s">
        <v>7</v>
      </c>
      <c r="E840">
        <v>120</v>
      </c>
      <c r="F840" s="7">
        <v>0</v>
      </c>
      <c r="G840">
        <f t="shared" si="32"/>
        <v>0</v>
      </c>
    </row>
    <row r="841" spans="1:7">
      <c r="A841" s="1">
        <v>45480</v>
      </c>
      <c r="B841" t="s">
        <v>54</v>
      </c>
      <c r="C841" t="s">
        <v>15</v>
      </c>
      <c r="D841" t="s">
        <v>7</v>
      </c>
      <c r="E841">
        <v>120</v>
      </c>
      <c r="F841" s="7">
        <v>0</v>
      </c>
      <c r="G841">
        <f t="shared" si="32"/>
        <v>0</v>
      </c>
    </row>
    <row r="842" spans="1:7">
      <c r="A842" s="1">
        <v>45481</v>
      </c>
      <c r="B842" t="s">
        <v>54</v>
      </c>
      <c r="C842" t="s">
        <v>15</v>
      </c>
      <c r="D842" t="s">
        <v>7</v>
      </c>
      <c r="E842">
        <v>120</v>
      </c>
      <c r="F842" s="7">
        <v>0</v>
      </c>
      <c r="G842">
        <f t="shared" si="32"/>
        <v>0</v>
      </c>
    </row>
    <row r="843" spans="1:7">
      <c r="A843" s="1">
        <v>45482</v>
      </c>
      <c r="B843" t="s">
        <v>54</v>
      </c>
      <c r="C843" t="s">
        <v>15</v>
      </c>
      <c r="D843" t="s">
        <v>7</v>
      </c>
      <c r="E843">
        <v>120</v>
      </c>
      <c r="F843" s="7">
        <v>0</v>
      </c>
      <c r="G843">
        <f t="shared" si="32"/>
        <v>0</v>
      </c>
    </row>
    <row r="844" spans="1:7">
      <c r="A844" s="1">
        <v>45483</v>
      </c>
      <c r="B844" t="s">
        <v>54</v>
      </c>
      <c r="C844" t="s">
        <v>15</v>
      </c>
      <c r="D844" t="s">
        <v>7</v>
      </c>
      <c r="E844">
        <v>120</v>
      </c>
      <c r="F844" s="7">
        <v>0</v>
      </c>
      <c r="G844">
        <f t="shared" si="32"/>
        <v>0</v>
      </c>
    </row>
    <row r="845" spans="1:7">
      <c r="A845" s="1">
        <v>45484</v>
      </c>
      <c r="B845" t="s">
        <v>54</v>
      </c>
      <c r="C845" t="s">
        <v>15</v>
      </c>
      <c r="D845" t="s">
        <v>7</v>
      </c>
      <c r="E845">
        <v>120</v>
      </c>
      <c r="F845" s="7">
        <v>0</v>
      </c>
      <c r="G845">
        <f t="shared" si="32"/>
        <v>0</v>
      </c>
    </row>
    <row r="846" spans="1:7">
      <c r="A846" s="1">
        <v>45485</v>
      </c>
      <c r="B846" t="s">
        <v>54</v>
      </c>
      <c r="C846" t="s">
        <v>15</v>
      </c>
      <c r="D846" t="s">
        <v>7</v>
      </c>
      <c r="E846">
        <v>120</v>
      </c>
      <c r="F846" s="7">
        <v>0</v>
      </c>
      <c r="G846">
        <f t="shared" si="32"/>
        <v>0</v>
      </c>
    </row>
    <row r="847" spans="1:7">
      <c r="A847" s="1">
        <v>45486</v>
      </c>
      <c r="B847" t="s">
        <v>54</v>
      </c>
      <c r="C847" t="s">
        <v>15</v>
      </c>
      <c r="D847" t="s">
        <v>7</v>
      </c>
      <c r="E847">
        <v>120</v>
      </c>
      <c r="F847" s="7">
        <v>0</v>
      </c>
      <c r="G847">
        <f t="shared" si="32"/>
        <v>0</v>
      </c>
    </row>
    <row r="848" spans="1:7">
      <c r="A848" s="1">
        <v>45487</v>
      </c>
      <c r="B848" t="s">
        <v>54</v>
      </c>
      <c r="C848" t="s">
        <v>15</v>
      </c>
      <c r="D848" t="s">
        <v>7</v>
      </c>
      <c r="E848">
        <v>120</v>
      </c>
      <c r="F848" s="7">
        <v>0</v>
      </c>
      <c r="G848">
        <f t="shared" si="32"/>
        <v>0</v>
      </c>
    </row>
    <row r="849" spans="1:7">
      <c r="A849" s="1">
        <v>45488</v>
      </c>
      <c r="B849" t="s">
        <v>54</v>
      </c>
      <c r="C849" t="s">
        <v>15</v>
      </c>
      <c r="D849" t="s">
        <v>7</v>
      </c>
      <c r="E849">
        <v>120</v>
      </c>
      <c r="F849" s="7">
        <v>0</v>
      </c>
      <c r="G849">
        <f t="shared" si="32"/>
        <v>0</v>
      </c>
    </row>
    <row r="850" spans="1:7">
      <c r="A850" s="1">
        <v>45489</v>
      </c>
      <c r="B850" t="s">
        <v>54</v>
      </c>
      <c r="C850" t="s">
        <v>15</v>
      </c>
      <c r="D850" t="s">
        <v>7</v>
      </c>
      <c r="E850">
        <v>120</v>
      </c>
      <c r="F850" s="7">
        <v>0</v>
      </c>
      <c r="G850">
        <f t="shared" si="32"/>
        <v>0</v>
      </c>
    </row>
    <row r="851" spans="1:7">
      <c r="A851" s="1">
        <v>45490</v>
      </c>
      <c r="B851" t="s">
        <v>54</v>
      </c>
      <c r="C851" t="s">
        <v>15</v>
      </c>
      <c r="D851" t="s">
        <v>7</v>
      </c>
      <c r="E851">
        <v>120</v>
      </c>
      <c r="F851" s="7">
        <v>0</v>
      </c>
      <c r="G851">
        <f t="shared" si="32"/>
        <v>0</v>
      </c>
    </row>
    <row r="852" spans="1:7">
      <c r="A852" s="1">
        <v>45491</v>
      </c>
      <c r="B852" t="s">
        <v>54</v>
      </c>
      <c r="C852" t="s">
        <v>15</v>
      </c>
      <c r="D852" t="s">
        <v>7</v>
      </c>
      <c r="E852">
        <v>120</v>
      </c>
      <c r="F852" s="7">
        <v>0</v>
      </c>
      <c r="G852">
        <f t="shared" si="32"/>
        <v>0</v>
      </c>
    </row>
    <row r="853" spans="1:7">
      <c r="A853" s="1">
        <v>45492</v>
      </c>
      <c r="B853" t="s">
        <v>54</v>
      </c>
      <c r="C853" t="s">
        <v>15</v>
      </c>
      <c r="D853" t="s">
        <v>7</v>
      </c>
      <c r="E853">
        <v>120</v>
      </c>
      <c r="F853" s="7">
        <v>0</v>
      </c>
      <c r="G853">
        <f t="shared" si="32"/>
        <v>0</v>
      </c>
    </row>
    <row r="854" spans="1:7">
      <c r="A854" s="1">
        <v>45493</v>
      </c>
      <c r="B854" t="s">
        <v>54</v>
      </c>
      <c r="C854" t="s">
        <v>15</v>
      </c>
      <c r="D854" t="s">
        <v>7</v>
      </c>
      <c r="E854">
        <v>120</v>
      </c>
      <c r="F854" s="7">
        <v>0</v>
      </c>
      <c r="G854">
        <f t="shared" si="32"/>
        <v>0</v>
      </c>
    </row>
    <row r="855" spans="1:7">
      <c r="A855" s="1">
        <v>45494</v>
      </c>
      <c r="B855" t="s">
        <v>54</v>
      </c>
      <c r="C855" t="s">
        <v>15</v>
      </c>
      <c r="D855" t="s">
        <v>7</v>
      </c>
      <c r="E855">
        <v>120</v>
      </c>
      <c r="F855" s="7">
        <v>0</v>
      </c>
      <c r="G855">
        <f t="shared" si="32"/>
        <v>0</v>
      </c>
    </row>
    <row r="856" spans="1:7">
      <c r="A856" s="1">
        <v>45495</v>
      </c>
      <c r="B856" t="s">
        <v>54</v>
      </c>
      <c r="C856" t="s">
        <v>15</v>
      </c>
      <c r="D856" t="s">
        <v>7</v>
      </c>
      <c r="E856">
        <v>120</v>
      </c>
      <c r="F856" s="7">
        <v>0</v>
      </c>
      <c r="G856">
        <f t="shared" si="32"/>
        <v>0</v>
      </c>
    </row>
    <row r="857" spans="1:7">
      <c r="A857" s="1">
        <v>45496</v>
      </c>
      <c r="B857" t="s">
        <v>54</v>
      </c>
      <c r="C857" t="s">
        <v>15</v>
      </c>
      <c r="D857" t="s">
        <v>7</v>
      </c>
      <c r="E857">
        <v>120</v>
      </c>
      <c r="F857" s="7">
        <v>0</v>
      </c>
      <c r="G857">
        <f t="shared" si="32"/>
        <v>0</v>
      </c>
    </row>
    <row r="858" spans="1:7">
      <c r="A858" s="1">
        <v>45497</v>
      </c>
      <c r="B858" t="s">
        <v>54</v>
      </c>
      <c r="C858" t="s">
        <v>15</v>
      </c>
      <c r="D858" t="s">
        <v>7</v>
      </c>
      <c r="E858">
        <v>120</v>
      </c>
      <c r="F858" s="7">
        <v>0</v>
      </c>
      <c r="G858">
        <f t="shared" si="32"/>
        <v>0</v>
      </c>
    </row>
    <row r="859" spans="1:7">
      <c r="A859" s="1">
        <v>45498</v>
      </c>
      <c r="B859" t="s">
        <v>54</v>
      </c>
      <c r="C859" t="s">
        <v>15</v>
      </c>
      <c r="D859" t="s">
        <v>7</v>
      </c>
      <c r="E859">
        <v>120</v>
      </c>
      <c r="F859" s="7">
        <v>0</v>
      </c>
      <c r="G859">
        <f t="shared" si="32"/>
        <v>0</v>
      </c>
    </row>
    <row r="860" spans="1:7">
      <c r="A860" s="1">
        <v>45499</v>
      </c>
      <c r="B860" t="s">
        <v>54</v>
      </c>
      <c r="C860" t="s">
        <v>15</v>
      </c>
      <c r="D860" t="s">
        <v>7</v>
      </c>
      <c r="E860">
        <v>120</v>
      </c>
      <c r="F860" s="7">
        <v>0</v>
      </c>
      <c r="G860">
        <f t="shared" si="32"/>
        <v>0</v>
      </c>
    </row>
    <row r="861" spans="1:7">
      <c r="A861" s="1">
        <v>45500</v>
      </c>
      <c r="B861" t="s">
        <v>54</v>
      </c>
      <c r="C861" t="s">
        <v>15</v>
      </c>
      <c r="D861" t="s">
        <v>7</v>
      </c>
      <c r="E861">
        <v>120</v>
      </c>
      <c r="F861" s="7">
        <v>0</v>
      </c>
      <c r="G861">
        <f t="shared" si="32"/>
        <v>0</v>
      </c>
    </row>
    <row r="862" spans="1:7">
      <c r="A862" s="1">
        <v>45501</v>
      </c>
      <c r="B862" t="s">
        <v>54</v>
      </c>
      <c r="C862" t="s">
        <v>15</v>
      </c>
      <c r="D862" t="s">
        <v>7</v>
      </c>
      <c r="E862">
        <v>120</v>
      </c>
      <c r="F862" s="7">
        <v>0</v>
      </c>
      <c r="G862">
        <f t="shared" si="32"/>
        <v>0</v>
      </c>
    </row>
    <row r="863" spans="1:7">
      <c r="A863" s="1">
        <v>45502</v>
      </c>
      <c r="B863" t="s">
        <v>54</v>
      </c>
      <c r="C863" t="s">
        <v>15</v>
      </c>
      <c r="D863" t="s">
        <v>7</v>
      </c>
      <c r="E863">
        <v>120</v>
      </c>
      <c r="F863" s="7">
        <v>0</v>
      </c>
      <c r="G863">
        <f t="shared" si="32"/>
        <v>0</v>
      </c>
    </row>
    <row r="864" spans="1:7">
      <c r="A864" s="1">
        <v>45503</v>
      </c>
      <c r="B864" t="s">
        <v>54</v>
      </c>
      <c r="C864" t="s">
        <v>15</v>
      </c>
      <c r="D864" t="s">
        <v>7</v>
      </c>
      <c r="E864">
        <v>120</v>
      </c>
      <c r="F864" s="7">
        <v>0</v>
      </c>
      <c r="G864">
        <f t="shared" si="32"/>
        <v>0</v>
      </c>
    </row>
    <row r="865" spans="1:7">
      <c r="A865" s="1">
        <v>45504</v>
      </c>
      <c r="B865" t="s">
        <v>54</v>
      </c>
      <c r="C865" t="s">
        <v>15</v>
      </c>
      <c r="D865" t="s">
        <v>7</v>
      </c>
      <c r="E865">
        <v>120</v>
      </c>
      <c r="F865" s="7">
        <v>0</v>
      </c>
      <c r="G865">
        <f t="shared" si="32"/>
        <v>0</v>
      </c>
    </row>
    <row r="866" spans="1:7">
      <c r="A866" s="1">
        <v>45474</v>
      </c>
      <c r="B866" t="s">
        <v>55</v>
      </c>
      <c r="C866" t="s">
        <v>15</v>
      </c>
      <c r="D866" t="s">
        <v>6</v>
      </c>
      <c r="E866">
        <v>650</v>
      </c>
      <c r="G866">
        <f t="shared" si="32"/>
        <v>0</v>
      </c>
    </row>
    <row r="867" spans="1:7">
      <c r="A867" s="1">
        <v>45475</v>
      </c>
      <c r="B867" t="s">
        <v>55</v>
      </c>
      <c r="C867" t="s">
        <v>15</v>
      </c>
      <c r="D867" t="s">
        <v>6</v>
      </c>
      <c r="E867">
        <v>650</v>
      </c>
      <c r="G867">
        <f t="shared" si="32"/>
        <v>0</v>
      </c>
    </row>
    <row r="868" spans="1:7">
      <c r="A868" s="1">
        <v>45476</v>
      </c>
      <c r="B868" t="s">
        <v>55</v>
      </c>
      <c r="C868" t="s">
        <v>15</v>
      </c>
      <c r="D868" t="s">
        <v>6</v>
      </c>
      <c r="E868">
        <v>650</v>
      </c>
      <c r="G868">
        <f t="shared" si="32"/>
        <v>0</v>
      </c>
    </row>
    <row r="869" spans="1:7">
      <c r="A869" s="1">
        <v>45477</v>
      </c>
      <c r="B869" t="s">
        <v>55</v>
      </c>
      <c r="C869" t="s">
        <v>15</v>
      </c>
      <c r="D869" t="s">
        <v>6</v>
      </c>
      <c r="E869">
        <v>650</v>
      </c>
      <c r="G869">
        <f t="shared" si="32"/>
        <v>0</v>
      </c>
    </row>
    <row r="870" spans="1:7">
      <c r="A870" s="1">
        <v>45478</v>
      </c>
      <c r="B870" t="s">
        <v>55</v>
      </c>
      <c r="C870" t="s">
        <v>15</v>
      </c>
      <c r="D870" t="s">
        <v>6</v>
      </c>
      <c r="E870">
        <v>650</v>
      </c>
      <c r="G870">
        <f t="shared" si="32"/>
        <v>0</v>
      </c>
    </row>
    <row r="871" spans="1:7">
      <c r="A871" s="1">
        <v>45479</v>
      </c>
      <c r="B871" t="s">
        <v>55</v>
      </c>
      <c r="C871" t="s">
        <v>15</v>
      </c>
      <c r="D871" t="s">
        <v>6</v>
      </c>
      <c r="E871">
        <v>650</v>
      </c>
      <c r="G871">
        <f t="shared" si="32"/>
        <v>0</v>
      </c>
    </row>
    <row r="872" spans="1:7">
      <c r="A872" s="1">
        <v>45480</v>
      </c>
      <c r="B872" t="s">
        <v>55</v>
      </c>
      <c r="C872" t="s">
        <v>15</v>
      </c>
      <c r="D872" t="s">
        <v>6</v>
      </c>
      <c r="E872">
        <v>650</v>
      </c>
      <c r="G872">
        <f t="shared" si="32"/>
        <v>0</v>
      </c>
    </row>
    <row r="873" spans="1:7">
      <c r="A873" s="1">
        <v>45481</v>
      </c>
      <c r="B873" t="s">
        <v>55</v>
      </c>
      <c r="C873" t="s">
        <v>15</v>
      </c>
      <c r="D873" t="s">
        <v>6</v>
      </c>
      <c r="E873">
        <v>650</v>
      </c>
      <c r="G873">
        <f t="shared" si="32"/>
        <v>0</v>
      </c>
    </row>
    <row r="874" spans="1:7">
      <c r="A874" s="1">
        <v>45482</v>
      </c>
      <c r="B874" t="s">
        <v>55</v>
      </c>
      <c r="C874" t="s">
        <v>15</v>
      </c>
      <c r="D874" t="s">
        <v>6</v>
      </c>
      <c r="E874">
        <v>650</v>
      </c>
      <c r="G874">
        <f t="shared" si="32"/>
        <v>0</v>
      </c>
    </row>
    <row r="875" spans="1:7">
      <c r="A875" s="1">
        <v>45483</v>
      </c>
      <c r="B875" t="s">
        <v>55</v>
      </c>
      <c r="C875" t="s">
        <v>15</v>
      </c>
      <c r="D875" t="s">
        <v>6</v>
      </c>
      <c r="E875">
        <v>650</v>
      </c>
      <c r="G875">
        <f t="shared" si="32"/>
        <v>0</v>
      </c>
    </row>
    <row r="876" spans="1:7">
      <c r="A876" s="1">
        <v>45484</v>
      </c>
      <c r="B876" t="s">
        <v>55</v>
      </c>
      <c r="C876" t="s">
        <v>15</v>
      </c>
      <c r="D876" t="s">
        <v>6</v>
      </c>
      <c r="E876">
        <v>650</v>
      </c>
      <c r="G876">
        <f t="shared" si="32"/>
        <v>0</v>
      </c>
    </row>
    <row r="877" spans="1:7">
      <c r="A877" s="1">
        <v>45485</v>
      </c>
      <c r="B877" t="s">
        <v>55</v>
      </c>
      <c r="C877" t="s">
        <v>15</v>
      </c>
      <c r="D877" t="s">
        <v>6</v>
      </c>
      <c r="E877">
        <v>650</v>
      </c>
      <c r="G877">
        <f t="shared" si="32"/>
        <v>0</v>
      </c>
    </row>
    <row r="878" spans="1:7">
      <c r="A878" s="1">
        <v>45486</v>
      </c>
      <c r="B878" t="s">
        <v>55</v>
      </c>
      <c r="C878" t="s">
        <v>15</v>
      </c>
      <c r="D878" t="s">
        <v>6</v>
      </c>
      <c r="E878">
        <v>650</v>
      </c>
      <c r="G878">
        <f t="shared" si="32"/>
        <v>0</v>
      </c>
    </row>
    <row r="879" spans="1:7">
      <c r="A879" s="1">
        <v>45487</v>
      </c>
      <c r="B879" t="s">
        <v>55</v>
      </c>
      <c r="C879" t="s">
        <v>15</v>
      </c>
      <c r="D879" t="s">
        <v>6</v>
      </c>
      <c r="E879">
        <v>650</v>
      </c>
      <c r="G879">
        <f t="shared" si="32"/>
        <v>0</v>
      </c>
    </row>
    <row r="880" spans="1:7">
      <c r="A880" s="1">
        <v>45488</v>
      </c>
      <c r="B880" t="s">
        <v>55</v>
      </c>
      <c r="C880" t="s">
        <v>15</v>
      </c>
      <c r="D880" t="s">
        <v>6</v>
      </c>
      <c r="E880">
        <v>650</v>
      </c>
      <c r="G880">
        <f t="shared" si="32"/>
        <v>0</v>
      </c>
    </row>
    <row r="881" spans="1:7">
      <c r="A881" s="1">
        <v>45489</v>
      </c>
      <c r="B881" t="s">
        <v>55</v>
      </c>
      <c r="C881" t="s">
        <v>15</v>
      </c>
      <c r="D881" t="s">
        <v>6</v>
      </c>
      <c r="E881">
        <v>650</v>
      </c>
      <c r="G881">
        <f t="shared" si="32"/>
        <v>0</v>
      </c>
    </row>
    <row r="882" spans="1:7">
      <c r="A882" s="1">
        <v>45490</v>
      </c>
      <c r="B882" t="s">
        <v>55</v>
      </c>
      <c r="C882" t="s">
        <v>15</v>
      </c>
      <c r="D882" t="s">
        <v>6</v>
      </c>
      <c r="E882">
        <v>650</v>
      </c>
      <c r="G882">
        <f t="shared" si="32"/>
        <v>0</v>
      </c>
    </row>
    <row r="883" spans="1:7">
      <c r="A883" s="1">
        <v>45491</v>
      </c>
      <c r="B883" t="s">
        <v>55</v>
      </c>
      <c r="C883" t="s">
        <v>15</v>
      </c>
      <c r="D883" t="s">
        <v>6</v>
      </c>
      <c r="E883">
        <v>650</v>
      </c>
      <c r="G883">
        <f t="shared" si="32"/>
        <v>0</v>
      </c>
    </row>
    <row r="884" spans="1:7">
      <c r="A884" s="1">
        <v>45492</v>
      </c>
      <c r="B884" t="s">
        <v>55</v>
      </c>
      <c r="C884" t="s">
        <v>15</v>
      </c>
      <c r="D884" t="s">
        <v>6</v>
      </c>
      <c r="E884">
        <v>650</v>
      </c>
      <c r="G884">
        <f t="shared" si="32"/>
        <v>0</v>
      </c>
    </row>
    <row r="885" spans="1:7">
      <c r="A885" s="1">
        <v>45493</v>
      </c>
      <c r="B885" t="s">
        <v>55</v>
      </c>
      <c r="C885" t="s">
        <v>15</v>
      </c>
      <c r="D885" t="s">
        <v>6</v>
      </c>
      <c r="E885">
        <v>650</v>
      </c>
      <c r="G885">
        <f t="shared" si="32"/>
        <v>0</v>
      </c>
    </row>
    <row r="886" spans="1:7">
      <c r="A886" s="1">
        <v>45494</v>
      </c>
      <c r="B886" t="s">
        <v>55</v>
      </c>
      <c r="C886" t="s">
        <v>15</v>
      </c>
      <c r="D886" t="s">
        <v>6</v>
      </c>
      <c r="E886">
        <v>650</v>
      </c>
      <c r="G886">
        <f t="shared" si="32"/>
        <v>0</v>
      </c>
    </row>
    <row r="887" spans="1:7">
      <c r="A887" s="1">
        <v>45495</v>
      </c>
      <c r="B887" t="s">
        <v>55</v>
      </c>
      <c r="C887" t="s">
        <v>15</v>
      </c>
      <c r="D887" t="s">
        <v>6</v>
      </c>
      <c r="E887">
        <v>650</v>
      </c>
      <c r="G887">
        <f t="shared" si="32"/>
        <v>0</v>
      </c>
    </row>
    <row r="888" spans="1:7">
      <c r="A888" s="1">
        <v>45496</v>
      </c>
      <c r="B888" t="s">
        <v>55</v>
      </c>
      <c r="C888" t="s">
        <v>15</v>
      </c>
      <c r="D888" t="s">
        <v>6</v>
      </c>
      <c r="E888">
        <v>650</v>
      </c>
      <c r="G888">
        <f t="shared" si="32"/>
        <v>0</v>
      </c>
    </row>
    <row r="889" spans="1:7">
      <c r="A889" s="1">
        <v>45497</v>
      </c>
      <c r="B889" t="s">
        <v>55</v>
      </c>
      <c r="C889" t="s">
        <v>15</v>
      </c>
      <c r="D889" t="s">
        <v>6</v>
      </c>
      <c r="E889">
        <v>650</v>
      </c>
      <c r="G889">
        <f t="shared" si="32"/>
        <v>0</v>
      </c>
    </row>
    <row r="890" spans="1:7">
      <c r="A890" s="1">
        <v>45498</v>
      </c>
      <c r="B890" t="s">
        <v>55</v>
      </c>
      <c r="C890" t="s">
        <v>15</v>
      </c>
      <c r="D890" t="s">
        <v>6</v>
      </c>
      <c r="E890">
        <v>650</v>
      </c>
      <c r="G890">
        <f t="shared" si="32"/>
        <v>0</v>
      </c>
    </row>
    <row r="891" spans="1:7">
      <c r="A891" s="1">
        <v>45499</v>
      </c>
      <c r="B891" t="s">
        <v>55</v>
      </c>
      <c r="C891" t="s">
        <v>15</v>
      </c>
      <c r="D891" t="s">
        <v>6</v>
      </c>
      <c r="E891">
        <v>650</v>
      </c>
      <c r="G891">
        <f t="shared" si="32"/>
        <v>0</v>
      </c>
    </row>
    <row r="892" spans="1:7">
      <c r="A892" s="1">
        <v>45500</v>
      </c>
      <c r="B892" t="s">
        <v>55</v>
      </c>
      <c r="C892" t="s">
        <v>15</v>
      </c>
      <c r="D892" t="s">
        <v>6</v>
      </c>
      <c r="E892">
        <v>650</v>
      </c>
      <c r="G892">
        <f t="shared" si="32"/>
        <v>0</v>
      </c>
    </row>
    <row r="893" spans="1:7">
      <c r="A893" s="1">
        <v>45501</v>
      </c>
      <c r="B893" t="s">
        <v>55</v>
      </c>
      <c r="C893" t="s">
        <v>15</v>
      </c>
      <c r="D893" t="s">
        <v>6</v>
      </c>
      <c r="E893">
        <v>650</v>
      </c>
      <c r="G893">
        <f t="shared" si="32"/>
        <v>0</v>
      </c>
    </row>
    <row r="894" spans="1:7">
      <c r="A894" s="1">
        <v>45502</v>
      </c>
      <c r="B894" t="s">
        <v>55</v>
      </c>
      <c r="C894" t="s">
        <v>15</v>
      </c>
      <c r="D894" t="s">
        <v>6</v>
      </c>
      <c r="E894">
        <v>650</v>
      </c>
      <c r="G894">
        <f t="shared" si="32"/>
        <v>0</v>
      </c>
    </row>
    <row r="895" spans="1:7">
      <c r="A895" s="1">
        <v>45503</v>
      </c>
      <c r="B895" t="s">
        <v>55</v>
      </c>
      <c r="C895" t="s">
        <v>15</v>
      </c>
      <c r="D895" t="s">
        <v>6</v>
      </c>
      <c r="E895">
        <v>650</v>
      </c>
      <c r="G895">
        <f t="shared" si="32"/>
        <v>0</v>
      </c>
    </row>
    <row r="896" spans="1:7">
      <c r="A896" s="1">
        <v>45504</v>
      </c>
      <c r="B896" t="s">
        <v>55</v>
      </c>
      <c r="C896" t="s">
        <v>15</v>
      </c>
      <c r="D896" t="s">
        <v>6</v>
      </c>
      <c r="E896">
        <v>650</v>
      </c>
      <c r="G896">
        <f t="shared" si="32"/>
        <v>0</v>
      </c>
    </row>
    <row r="897" spans="1:7">
      <c r="A897" s="1">
        <v>45474</v>
      </c>
      <c r="B897" t="s">
        <v>55</v>
      </c>
      <c r="C897" t="s">
        <v>15</v>
      </c>
      <c r="D897" t="s">
        <v>7</v>
      </c>
      <c r="E897">
        <v>110</v>
      </c>
      <c r="F897" s="55">
        <v>2</v>
      </c>
      <c r="G897">
        <f t="shared" si="32"/>
        <v>220</v>
      </c>
    </row>
    <row r="898" spans="1:7">
      <c r="A898" s="1">
        <v>45475</v>
      </c>
      <c r="B898" t="s">
        <v>55</v>
      </c>
      <c r="C898" t="s">
        <v>15</v>
      </c>
      <c r="D898" t="s">
        <v>7</v>
      </c>
      <c r="E898">
        <v>110</v>
      </c>
      <c r="F898" s="55">
        <v>1</v>
      </c>
      <c r="G898">
        <f t="shared" si="32"/>
        <v>110</v>
      </c>
    </row>
    <row r="899" spans="1:7">
      <c r="A899" s="1">
        <v>45476</v>
      </c>
      <c r="B899" t="s">
        <v>55</v>
      </c>
      <c r="C899" t="s">
        <v>15</v>
      </c>
      <c r="D899" t="s">
        <v>7</v>
      </c>
      <c r="E899">
        <v>110</v>
      </c>
      <c r="F899" s="55">
        <v>1</v>
      </c>
      <c r="G899">
        <f t="shared" ref="G899:G962" si="33">F899*E899</f>
        <v>110</v>
      </c>
    </row>
    <row r="900" spans="1:7">
      <c r="A900" s="1">
        <v>45477</v>
      </c>
      <c r="B900" t="s">
        <v>55</v>
      </c>
      <c r="C900" t="s">
        <v>15</v>
      </c>
      <c r="D900" t="s">
        <v>7</v>
      </c>
      <c r="E900">
        <v>110</v>
      </c>
      <c r="F900" s="55">
        <v>0</v>
      </c>
      <c r="G900">
        <f t="shared" si="33"/>
        <v>0</v>
      </c>
    </row>
    <row r="901" spans="1:7">
      <c r="A901" s="1">
        <v>45478</v>
      </c>
      <c r="B901" t="s">
        <v>55</v>
      </c>
      <c r="C901" t="s">
        <v>15</v>
      </c>
      <c r="D901" t="s">
        <v>7</v>
      </c>
      <c r="E901">
        <v>110</v>
      </c>
      <c r="F901" s="55">
        <v>1</v>
      </c>
      <c r="G901">
        <f t="shared" si="33"/>
        <v>110</v>
      </c>
    </row>
    <row r="902" spans="1:7">
      <c r="A902" s="1">
        <v>45479</v>
      </c>
      <c r="B902" t="s">
        <v>55</v>
      </c>
      <c r="C902" t="s">
        <v>15</v>
      </c>
      <c r="D902" t="s">
        <v>7</v>
      </c>
      <c r="E902">
        <v>110</v>
      </c>
      <c r="F902" s="55">
        <v>0</v>
      </c>
      <c r="G902">
        <f t="shared" si="33"/>
        <v>0</v>
      </c>
    </row>
    <row r="903" spans="1:7">
      <c r="A903" s="1">
        <v>45480</v>
      </c>
      <c r="B903" t="s">
        <v>55</v>
      </c>
      <c r="C903" t="s">
        <v>15</v>
      </c>
      <c r="D903" t="s">
        <v>7</v>
      </c>
      <c r="E903">
        <v>110</v>
      </c>
      <c r="F903" s="55">
        <v>0</v>
      </c>
      <c r="G903">
        <f t="shared" si="33"/>
        <v>0</v>
      </c>
    </row>
    <row r="904" spans="1:7">
      <c r="A904" s="1">
        <v>45481</v>
      </c>
      <c r="B904" t="s">
        <v>55</v>
      </c>
      <c r="C904" t="s">
        <v>15</v>
      </c>
      <c r="D904" t="s">
        <v>7</v>
      </c>
      <c r="E904">
        <v>110</v>
      </c>
      <c r="F904" s="55">
        <v>1</v>
      </c>
      <c r="G904">
        <f t="shared" si="33"/>
        <v>110</v>
      </c>
    </row>
    <row r="905" spans="1:7">
      <c r="A905" s="1">
        <v>45482</v>
      </c>
      <c r="B905" t="s">
        <v>55</v>
      </c>
      <c r="C905" t="s">
        <v>15</v>
      </c>
      <c r="D905" t="s">
        <v>7</v>
      </c>
      <c r="E905">
        <v>110</v>
      </c>
      <c r="F905" s="55">
        <v>1</v>
      </c>
      <c r="G905">
        <f t="shared" si="33"/>
        <v>110</v>
      </c>
    </row>
    <row r="906" spans="1:7">
      <c r="A906" s="1">
        <v>45483</v>
      </c>
      <c r="B906" t="s">
        <v>55</v>
      </c>
      <c r="C906" t="s">
        <v>15</v>
      </c>
      <c r="D906" t="s">
        <v>7</v>
      </c>
      <c r="E906">
        <v>110</v>
      </c>
      <c r="F906" s="55">
        <v>1</v>
      </c>
      <c r="G906">
        <f t="shared" si="33"/>
        <v>110</v>
      </c>
    </row>
    <row r="907" spans="1:7">
      <c r="A907" s="1">
        <v>45484</v>
      </c>
      <c r="B907" t="s">
        <v>55</v>
      </c>
      <c r="C907" t="s">
        <v>15</v>
      </c>
      <c r="D907" t="s">
        <v>7</v>
      </c>
      <c r="E907">
        <v>110</v>
      </c>
      <c r="F907" s="55">
        <v>1</v>
      </c>
      <c r="G907">
        <f t="shared" si="33"/>
        <v>110</v>
      </c>
    </row>
    <row r="908" spans="1:7">
      <c r="A908" s="1">
        <v>45485</v>
      </c>
      <c r="B908" t="s">
        <v>55</v>
      </c>
      <c r="C908" t="s">
        <v>15</v>
      </c>
      <c r="D908" t="s">
        <v>7</v>
      </c>
      <c r="E908">
        <v>110</v>
      </c>
      <c r="F908" s="55">
        <v>0</v>
      </c>
      <c r="G908">
        <f t="shared" si="33"/>
        <v>0</v>
      </c>
    </row>
    <row r="909" spans="1:7">
      <c r="A909" s="1">
        <v>45486</v>
      </c>
      <c r="B909" t="s">
        <v>55</v>
      </c>
      <c r="C909" t="s">
        <v>15</v>
      </c>
      <c r="D909" t="s">
        <v>7</v>
      </c>
      <c r="E909">
        <v>110</v>
      </c>
      <c r="F909" s="55">
        <v>0</v>
      </c>
      <c r="G909">
        <f t="shared" si="33"/>
        <v>0</v>
      </c>
    </row>
    <row r="910" spans="1:7">
      <c r="A910" s="1">
        <v>45487</v>
      </c>
      <c r="B910" t="s">
        <v>55</v>
      </c>
      <c r="C910" t="s">
        <v>15</v>
      </c>
      <c r="D910" t="s">
        <v>7</v>
      </c>
      <c r="E910">
        <v>110</v>
      </c>
      <c r="F910" s="55">
        <v>0</v>
      </c>
      <c r="G910">
        <f t="shared" si="33"/>
        <v>0</v>
      </c>
    </row>
    <row r="911" spans="1:7">
      <c r="A911" s="1">
        <v>45488</v>
      </c>
      <c r="B911" t="s">
        <v>55</v>
      </c>
      <c r="C911" t="s">
        <v>15</v>
      </c>
      <c r="D911" t="s">
        <v>7</v>
      </c>
      <c r="E911">
        <v>110</v>
      </c>
      <c r="F911" s="55">
        <v>1</v>
      </c>
      <c r="G911">
        <f t="shared" si="33"/>
        <v>110</v>
      </c>
    </row>
    <row r="912" spans="1:7">
      <c r="A912" s="1">
        <v>45489</v>
      </c>
      <c r="B912" t="s">
        <v>55</v>
      </c>
      <c r="C912" t="s">
        <v>15</v>
      </c>
      <c r="D912" t="s">
        <v>7</v>
      </c>
      <c r="E912">
        <v>110</v>
      </c>
      <c r="F912" s="55">
        <v>1</v>
      </c>
      <c r="G912">
        <f t="shared" si="33"/>
        <v>110</v>
      </c>
    </row>
    <row r="913" spans="1:7">
      <c r="A913" s="1">
        <v>45490</v>
      </c>
      <c r="B913" t="s">
        <v>55</v>
      </c>
      <c r="C913" t="s">
        <v>15</v>
      </c>
      <c r="D913" t="s">
        <v>7</v>
      </c>
      <c r="E913">
        <v>110</v>
      </c>
      <c r="F913" s="55">
        <v>1</v>
      </c>
      <c r="G913">
        <f t="shared" si="33"/>
        <v>110</v>
      </c>
    </row>
    <row r="914" spans="1:7">
      <c r="A914" s="1">
        <v>45491</v>
      </c>
      <c r="B914" t="s">
        <v>55</v>
      </c>
      <c r="C914" t="s">
        <v>15</v>
      </c>
      <c r="D914" t="s">
        <v>7</v>
      </c>
      <c r="E914">
        <v>110</v>
      </c>
      <c r="F914" s="55">
        <v>0</v>
      </c>
      <c r="G914">
        <f t="shared" si="33"/>
        <v>0</v>
      </c>
    </row>
    <row r="915" spans="1:7">
      <c r="A915" s="1">
        <v>45492</v>
      </c>
      <c r="B915" t="s">
        <v>55</v>
      </c>
      <c r="C915" t="s">
        <v>15</v>
      </c>
      <c r="D915" t="s">
        <v>7</v>
      </c>
      <c r="E915">
        <v>110</v>
      </c>
      <c r="F915" s="55">
        <v>1</v>
      </c>
      <c r="G915">
        <f t="shared" si="33"/>
        <v>110</v>
      </c>
    </row>
    <row r="916" spans="1:7">
      <c r="A916" s="1">
        <v>45493</v>
      </c>
      <c r="B916" t="s">
        <v>55</v>
      </c>
      <c r="C916" t="s">
        <v>15</v>
      </c>
      <c r="D916" t="s">
        <v>7</v>
      </c>
      <c r="E916">
        <v>110</v>
      </c>
      <c r="F916" s="55">
        <v>0</v>
      </c>
      <c r="G916">
        <f t="shared" si="33"/>
        <v>0</v>
      </c>
    </row>
    <row r="917" spans="1:7">
      <c r="A917" s="1">
        <v>45494</v>
      </c>
      <c r="B917" t="s">
        <v>55</v>
      </c>
      <c r="C917" t="s">
        <v>15</v>
      </c>
      <c r="D917" t="s">
        <v>7</v>
      </c>
      <c r="E917">
        <v>110</v>
      </c>
      <c r="F917" s="55">
        <v>0</v>
      </c>
      <c r="G917">
        <f t="shared" si="33"/>
        <v>0</v>
      </c>
    </row>
    <row r="918" spans="1:7">
      <c r="A918" s="1">
        <v>45495</v>
      </c>
      <c r="B918" t="s">
        <v>55</v>
      </c>
      <c r="C918" t="s">
        <v>15</v>
      </c>
      <c r="D918" t="s">
        <v>7</v>
      </c>
      <c r="E918">
        <v>110</v>
      </c>
      <c r="F918" s="55">
        <v>1</v>
      </c>
      <c r="G918">
        <f t="shared" si="33"/>
        <v>110</v>
      </c>
    </row>
    <row r="919" spans="1:7">
      <c r="A919" s="1">
        <v>45496</v>
      </c>
      <c r="B919" t="s">
        <v>55</v>
      </c>
      <c r="C919" t="s">
        <v>15</v>
      </c>
      <c r="D919" t="s">
        <v>7</v>
      </c>
      <c r="E919">
        <v>110</v>
      </c>
      <c r="F919" s="55">
        <v>0</v>
      </c>
      <c r="G919">
        <f t="shared" si="33"/>
        <v>0</v>
      </c>
    </row>
    <row r="920" spans="1:7">
      <c r="A920" s="1">
        <v>45497</v>
      </c>
      <c r="B920" t="s">
        <v>55</v>
      </c>
      <c r="C920" t="s">
        <v>15</v>
      </c>
      <c r="D920" t="s">
        <v>7</v>
      </c>
      <c r="E920">
        <v>110</v>
      </c>
      <c r="F920" s="55">
        <v>1</v>
      </c>
      <c r="G920">
        <f t="shared" si="33"/>
        <v>110</v>
      </c>
    </row>
    <row r="921" spans="1:7">
      <c r="A921" s="1">
        <v>45498</v>
      </c>
      <c r="B921" t="s">
        <v>55</v>
      </c>
      <c r="C921" t="s">
        <v>15</v>
      </c>
      <c r="D921" t="s">
        <v>7</v>
      </c>
      <c r="E921">
        <v>110</v>
      </c>
      <c r="F921" s="55">
        <v>1</v>
      </c>
      <c r="G921">
        <f t="shared" si="33"/>
        <v>110</v>
      </c>
    </row>
    <row r="922" spans="1:7">
      <c r="A922" s="1">
        <v>45499</v>
      </c>
      <c r="B922" t="s">
        <v>55</v>
      </c>
      <c r="C922" t="s">
        <v>15</v>
      </c>
      <c r="D922" t="s">
        <v>7</v>
      </c>
      <c r="E922">
        <v>110</v>
      </c>
      <c r="F922" s="55">
        <v>0</v>
      </c>
      <c r="G922">
        <f t="shared" si="33"/>
        <v>0</v>
      </c>
    </row>
    <row r="923" spans="1:7">
      <c r="A923" s="1">
        <v>45500</v>
      </c>
      <c r="B923" t="s">
        <v>55</v>
      </c>
      <c r="C923" t="s">
        <v>15</v>
      </c>
      <c r="D923" t="s">
        <v>7</v>
      </c>
      <c r="E923">
        <v>110</v>
      </c>
      <c r="F923" s="55">
        <v>0</v>
      </c>
      <c r="G923">
        <f t="shared" si="33"/>
        <v>0</v>
      </c>
    </row>
    <row r="924" spans="1:7">
      <c r="A924" s="1">
        <v>45501</v>
      </c>
      <c r="B924" t="s">
        <v>55</v>
      </c>
      <c r="C924" t="s">
        <v>15</v>
      </c>
      <c r="D924" t="s">
        <v>7</v>
      </c>
      <c r="E924">
        <v>110</v>
      </c>
      <c r="F924" s="55">
        <v>0</v>
      </c>
      <c r="G924">
        <f t="shared" si="33"/>
        <v>0</v>
      </c>
    </row>
    <row r="925" spans="1:7">
      <c r="A925" s="1">
        <v>45502</v>
      </c>
      <c r="B925" t="s">
        <v>55</v>
      </c>
      <c r="C925" t="s">
        <v>15</v>
      </c>
      <c r="D925" t="s">
        <v>7</v>
      </c>
      <c r="E925">
        <v>110</v>
      </c>
      <c r="F925" s="55">
        <v>1</v>
      </c>
      <c r="G925">
        <f t="shared" si="33"/>
        <v>110</v>
      </c>
    </row>
    <row r="926" spans="1:7">
      <c r="A926" s="1">
        <v>45503</v>
      </c>
      <c r="B926" t="s">
        <v>55</v>
      </c>
      <c r="C926" t="s">
        <v>15</v>
      </c>
      <c r="D926" t="s">
        <v>7</v>
      </c>
      <c r="E926">
        <v>110</v>
      </c>
      <c r="F926" s="55">
        <v>1</v>
      </c>
      <c r="G926">
        <f t="shared" si="33"/>
        <v>110</v>
      </c>
    </row>
    <row r="927" spans="1:7">
      <c r="A927" s="1">
        <v>45504</v>
      </c>
      <c r="B927" t="s">
        <v>55</v>
      </c>
      <c r="C927" t="s">
        <v>15</v>
      </c>
      <c r="D927" t="s">
        <v>7</v>
      </c>
      <c r="E927">
        <v>110</v>
      </c>
      <c r="F927" s="55">
        <v>1</v>
      </c>
      <c r="G927">
        <f t="shared" si="33"/>
        <v>110</v>
      </c>
    </row>
    <row r="928" spans="1:7">
      <c r="A928" s="1">
        <v>45474</v>
      </c>
      <c r="B928" t="s">
        <v>55</v>
      </c>
      <c r="C928" t="s">
        <v>15</v>
      </c>
      <c r="D928" t="s">
        <v>8</v>
      </c>
      <c r="E928">
        <v>0.26</v>
      </c>
      <c r="F928" s="55">
        <v>500</v>
      </c>
      <c r="G928">
        <f t="shared" si="33"/>
        <v>130</v>
      </c>
    </row>
    <row r="929" spans="1:7">
      <c r="A929" s="1">
        <v>45475</v>
      </c>
      <c r="B929" t="s">
        <v>55</v>
      </c>
      <c r="C929" t="s">
        <v>15</v>
      </c>
      <c r="D929" t="s">
        <v>8</v>
      </c>
      <c r="E929">
        <v>0.26</v>
      </c>
      <c r="F929" s="55">
        <v>0</v>
      </c>
      <c r="G929">
        <f t="shared" si="33"/>
        <v>0</v>
      </c>
    </row>
    <row r="930" spans="1:7">
      <c r="A930" s="1">
        <v>45476</v>
      </c>
      <c r="B930" t="s">
        <v>55</v>
      </c>
      <c r="C930" t="s">
        <v>15</v>
      </c>
      <c r="D930" t="s">
        <v>8</v>
      </c>
      <c r="E930">
        <v>0.26</v>
      </c>
      <c r="F930" s="55">
        <v>0</v>
      </c>
      <c r="G930">
        <f t="shared" si="33"/>
        <v>0</v>
      </c>
    </row>
    <row r="931" spans="1:7">
      <c r="A931" s="1">
        <v>45477</v>
      </c>
      <c r="B931" t="s">
        <v>55</v>
      </c>
      <c r="C931" t="s">
        <v>15</v>
      </c>
      <c r="D931" t="s">
        <v>8</v>
      </c>
      <c r="E931">
        <v>0.26</v>
      </c>
      <c r="F931" s="55">
        <v>0</v>
      </c>
      <c r="G931">
        <f t="shared" si="33"/>
        <v>0</v>
      </c>
    </row>
    <row r="932" spans="1:7">
      <c r="A932" s="1">
        <v>45478</v>
      </c>
      <c r="B932" t="s">
        <v>55</v>
      </c>
      <c r="C932" t="s">
        <v>15</v>
      </c>
      <c r="D932" t="s">
        <v>8</v>
      </c>
      <c r="E932">
        <v>0.26</v>
      </c>
      <c r="F932" s="55">
        <v>0</v>
      </c>
      <c r="G932">
        <f t="shared" si="33"/>
        <v>0</v>
      </c>
    </row>
    <row r="933" spans="1:7">
      <c r="A933" s="1">
        <v>45479</v>
      </c>
      <c r="B933" t="s">
        <v>55</v>
      </c>
      <c r="C933" t="s">
        <v>15</v>
      </c>
      <c r="D933" t="s">
        <v>8</v>
      </c>
      <c r="E933">
        <v>0.26</v>
      </c>
      <c r="F933" s="55">
        <v>0</v>
      </c>
      <c r="G933">
        <f t="shared" si="33"/>
        <v>0</v>
      </c>
    </row>
    <row r="934" spans="1:7">
      <c r="A934" s="1">
        <v>45480</v>
      </c>
      <c r="B934" t="s">
        <v>55</v>
      </c>
      <c r="C934" t="s">
        <v>15</v>
      </c>
      <c r="D934" t="s">
        <v>8</v>
      </c>
      <c r="E934">
        <v>0.26</v>
      </c>
      <c r="F934" s="55">
        <v>0</v>
      </c>
      <c r="G934">
        <f t="shared" si="33"/>
        <v>0</v>
      </c>
    </row>
    <row r="935" spans="1:7">
      <c r="A935" s="1">
        <v>45481</v>
      </c>
      <c r="B935" t="s">
        <v>55</v>
      </c>
      <c r="C935" t="s">
        <v>15</v>
      </c>
      <c r="D935" t="s">
        <v>8</v>
      </c>
      <c r="E935">
        <v>0.26</v>
      </c>
      <c r="F935" s="55">
        <v>0</v>
      </c>
      <c r="G935">
        <f t="shared" si="33"/>
        <v>0</v>
      </c>
    </row>
    <row r="936" spans="1:7">
      <c r="A936" s="1">
        <v>45482</v>
      </c>
      <c r="B936" t="s">
        <v>55</v>
      </c>
      <c r="C936" t="s">
        <v>15</v>
      </c>
      <c r="D936" t="s">
        <v>8</v>
      </c>
      <c r="E936">
        <v>0.26</v>
      </c>
      <c r="F936" s="55">
        <v>500</v>
      </c>
      <c r="G936">
        <f t="shared" si="33"/>
        <v>130</v>
      </c>
    </row>
    <row r="937" spans="1:7">
      <c r="A937" s="1">
        <v>45483</v>
      </c>
      <c r="B937" t="s">
        <v>55</v>
      </c>
      <c r="C937" t="s">
        <v>15</v>
      </c>
      <c r="D937" t="s">
        <v>8</v>
      </c>
      <c r="E937">
        <v>0.26</v>
      </c>
      <c r="F937" s="55">
        <v>0</v>
      </c>
      <c r="G937">
        <f t="shared" si="33"/>
        <v>0</v>
      </c>
    </row>
    <row r="938" spans="1:7">
      <c r="A938" s="1">
        <v>45484</v>
      </c>
      <c r="B938" t="s">
        <v>55</v>
      </c>
      <c r="C938" t="s">
        <v>15</v>
      </c>
      <c r="D938" t="s">
        <v>8</v>
      </c>
      <c r="E938">
        <v>0.26</v>
      </c>
      <c r="F938" s="55">
        <v>0</v>
      </c>
      <c r="G938">
        <f t="shared" si="33"/>
        <v>0</v>
      </c>
    </row>
    <row r="939" spans="1:7">
      <c r="A939" s="1">
        <v>45485</v>
      </c>
      <c r="B939" t="s">
        <v>55</v>
      </c>
      <c r="C939" t="s">
        <v>15</v>
      </c>
      <c r="D939" t="s">
        <v>8</v>
      </c>
      <c r="E939">
        <v>0.26</v>
      </c>
      <c r="F939" s="55">
        <v>0</v>
      </c>
      <c r="G939">
        <f t="shared" si="33"/>
        <v>0</v>
      </c>
    </row>
    <row r="940" spans="1:7">
      <c r="A940" s="1">
        <v>45486</v>
      </c>
      <c r="B940" t="s">
        <v>55</v>
      </c>
      <c r="C940" t="s">
        <v>15</v>
      </c>
      <c r="D940" t="s">
        <v>8</v>
      </c>
      <c r="E940">
        <v>0.26</v>
      </c>
      <c r="F940" s="55">
        <v>0</v>
      </c>
      <c r="G940">
        <f t="shared" si="33"/>
        <v>0</v>
      </c>
    </row>
    <row r="941" spans="1:7">
      <c r="A941" s="1">
        <v>45487</v>
      </c>
      <c r="B941" t="s">
        <v>55</v>
      </c>
      <c r="C941" t="s">
        <v>15</v>
      </c>
      <c r="D941" t="s">
        <v>8</v>
      </c>
      <c r="E941">
        <v>0.26</v>
      </c>
      <c r="F941" s="55">
        <v>0</v>
      </c>
      <c r="G941">
        <f t="shared" si="33"/>
        <v>0</v>
      </c>
    </row>
    <row r="942" spans="1:7">
      <c r="A942" s="1">
        <v>45488</v>
      </c>
      <c r="B942" t="s">
        <v>55</v>
      </c>
      <c r="C942" t="s">
        <v>15</v>
      </c>
      <c r="D942" t="s">
        <v>8</v>
      </c>
      <c r="E942">
        <v>0.26</v>
      </c>
      <c r="F942" s="55">
        <v>0</v>
      </c>
      <c r="G942">
        <f t="shared" si="33"/>
        <v>0</v>
      </c>
    </row>
    <row r="943" spans="1:7">
      <c r="A943" s="1">
        <v>45489</v>
      </c>
      <c r="B943" t="s">
        <v>55</v>
      </c>
      <c r="C943" t="s">
        <v>15</v>
      </c>
      <c r="D943" t="s">
        <v>8</v>
      </c>
      <c r="E943">
        <v>0.26</v>
      </c>
      <c r="F943" s="55">
        <v>500</v>
      </c>
      <c r="G943">
        <f t="shared" si="33"/>
        <v>130</v>
      </c>
    </row>
    <row r="944" spans="1:7">
      <c r="A944" s="1">
        <v>45490</v>
      </c>
      <c r="B944" t="s">
        <v>55</v>
      </c>
      <c r="C944" t="s">
        <v>15</v>
      </c>
      <c r="D944" t="s">
        <v>8</v>
      </c>
      <c r="E944">
        <v>0.26</v>
      </c>
      <c r="F944" s="55">
        <v>0</v>
      </c>
      <c r="G944">
        <f t="shared" si="33"/>
        <v>0</v>
      </c>
    </row>
    <row r="945" spans="1:7">
      <c r="A945" s="1">
        <v>45491</v>
      </c>
      <c r="B945" t="s">
        <v>55</v>
      </c>
      <c r="C945" t="s">
        <v>15</v>
      </c>
      <c r="D945" t="s">
        <v>8</v>
      </c>
      <c r="E945">
        <v>0.26</v>
      </c>
      <c r="F945" s="55">
        <v>0</v>
      </c>
      <c r="G945">
        <f t="shared" si="33"/>
        <v>0</v>
      </c>
    </row>
    <row r="946" spans="1:7">
      <c r="A946" s="1">
        <v>45492</v>
      </c>
      <c r="B946" t="s">
        <v>55</v>
      </c>
      <c r="C946" t="s">
        <v>15</v>
      </c>
      <c r="D946" t="s">
        <v>8</v>
      </c>
      <c r="E946">
        <v>0.26</v>
      </c>
      <c r="F946" s="55">
        <v>0</v>
      </c>
      <c r="G946">
        <f t="shared" si="33"/>
        <v>0</v>
      </c>
    </row>
    <row r="947" spans="1:7">
      <c r="A947" s="1">
        <v>45493</v>
      </c>
      <c r="B947" t="s">
        <v>55</v>
      </c>
      <c r="C947" t="s">
        <v>15</v>
      </c>
      <c r="D947" t="s">
        <v>8</v>
      </c>
      <c r="E947">
        <v>0.26</v>
      </c>
      <c r="F947" s="55">
        <v>0</v>
      </c>
      <c r="G947">
        <f t="shared" si="33"/>
        <v>0</v>
      </c>
    </row>
    <row r="948" spans="1:7">
      <c r="A948" s="1">
        <v>45494</v>
      </c>
      <c r="B948" t="s">
        <v>55</v>
      </c>
      <c r="C948" t="s">
        <v>15</v>
      </c>
      <c r="D948" t="s">
        <v>8</v>
      </c>
      <c r="E948">
        <v>0.26</v>
      </c>
      <c r="F948" s="55">
        <v>0</v>
      </c>
      <c r="G948">
        <f t="shared" si="33"/>
        <v>0</v>
      </c>
    </row>
    <row r="949" spans="1:7">
      <c r="A949" s="1">
        <v>45495</v>
      </c>
      <c r="B949" t="s">
        <v>55</v>
      </c>
      <c r="C949" t="s">
        <v>15</v>
      </c>
      <c r="D949" t="s">
        <v>8</v>
      </c>
      <c r="E949">
        <v>0.26</v>
      </c>
      <c r="F949" s="55">
        <v>0</v>
      </c>
      <c r="G949">
        <f t="shared" si="33"/>
        <v>0</v>
      </c>
    </row>
    <row r="950" spans="1:7">
      <c r="A950" s="1">
        <v>45496</v>
      </c>
      <c r="B950" t="s">
        <v>55</v>
      </c>
      <c r="C950" t="s">
        <v>15</v>
      </c>
      <c r="D950" t="s">
        <v>8</v>
      </c>
      <c r="E950">
        <v>0.26</v>
      </c>
      <c r="F950" s="55">
        <v>0</v>
      </c>
      <c r="G950">
        <f t="shared" si="33"/>
        <v>0</v>
      </c>
    </row>
    <row r="951" spans="1:7">
      <c r="A951" s="1">
        <v>45497</v>
      </c>
      <c r="B951" t="s">
        <v>55</v>
      </c>
      <c r="C951" t="s">
        <v>15</v>
      </c>
      <c r="D951" t="s">
        <v>8</v>
      </c>
      <c r="E951">
        <v>0.26</v>
      </c>
      <c r="F951" s="55">
        <v>0</v>
      </c>
      <c r="G951">
        <f t="shared" si="33"/>
        <v>0</v>
      </c>
    </row>
    <row r="952" spans="1:7">
      <c r="A952" s="1">
        <v>45498</v>
      </c>
      <c r="B952" t="s">
        <v>55</v>
      </c>
      <c r="C952" t="s">
        <v>15</v>
      </c>
      <c r="D952" t="s">
        <v>8</v>
      </c>
      <c r="E952">
        <v>0.26</v>
      </c>
      <c r="F952" s="55">
        <v>0</v>
      </c>
      <c r="G952">
        <f t="shared" si="33"/>
        <v>0</v>
      </c>
    </row>
    <row r="953" spans="1:7">
      <c r="A953" s="1">
        <v>45499</v>
      </c>
      <c r="B953" t="s">
        <v>55</v>
      </c>
      <c r="C953" t="s">
        <v>15</v>
      </c>
      <c r="D953" t="s">
        <v>8</v>
      </c>
      <c r="E953">
        <v>0.26</v>
      </c>
      <c r="F953" s="55">
        <v>0</v>
      </c>
      <c r="G953">
        <f t="shared" si="33"/>
        <v>0</v>
      </c>
    </row>
    <row r="954" spans="1:7">
      <c r="A954" s="1">
        <v>45500</v>
      </c>
      <c r="B954" t="s">
        <v>55</v>
      </c>
      <c r="C954" t="s">
        <v>15</v>
      </c>
      <c r="D954" t="s">
        <v>8</v>
      </c>
      <c r="E954">
        <v>0.26</v>
      </c>
      <c r="F954" s="55">
        <v>0</v>
      </c>
      <c r="G954">
        <f t="shared" si="33"/>
        <v>0</v>
      </c>
    </row>
    <row r="955" spans="1:7">
      <c r="A955" s="1">
        <v>45501</v>
      </c>
      <c r="B955" t="s">
        <v>55</v>
      </c>
      <c r="C955" t="s">
        <v>15</v>
      </c>
      <c r="D955" t="s">
        <v>8</v>
      </c>
      <c r="E955">
        <v>0.26</v>
      </c>
      <c r="F955" s="55">
        <v>0</v>
      </c>
      <c r="G955">
        <f t="shared" si="33"/>
        <v>0</v>
      </c>
    </row>
    <row r="956" spans="1:7">
      <c r="A956" s="1">
        <v>45502</v>
      </c>
      <c r="B956" t="s">
        <v>55</v>
      </c>
      <c r="C956" t="s">
        <v>15</v>
      </c>
      <c r="D956" t="s">
        <v>8</v>
      </c>
      <c r="E956">
        <v>0.26</v>
      </c>
      <c r="F956" s="55">
        <v>1</v>
      </c>
      <c r="G956">
        <f t="shared" si="33"/>
        <v>0.26</v>
      </c>
    </row>
    <row r="957" spans="1:7">
      <c r="A957" s="1">
        <v>45503</v>
      </c>
      <c r="B957" t="s">
        <v>55</v>
      </c>
      <c r="C957" t="s">
        <v>15</v>
      </c>
      <c r="D957" t="s">
        <v>8</v>
      </c>
      <c r="E957">
        <v>0.26</v>
      </c>
      <c r="F957" s="55">
        <v>0</v>
      </c>
      <c r="G957">
        <f t="shared" si="33"/>
        <v>0</v>
      </c>
    </row>
    <row r="958" spans="1:7">
      <c r="A958" s="1">
        <v>45504</v>
      </c>
      <c r="B958" t="s">
        <v>55</v>
      </c>
      <c r="C958" t="s">
        <v>15</v>
      </c>
      <c r="D958" t="s">
        <v>8</v>
      </c>
      <c r="E958">
        <v>0.26</v>
      </c>
      <c r="F958" s="55">
        <v>0</v>
      </c>
      <c r="G958">
        <f t="shared" si="33"/>
        <v>0</v>
      </c>
    </row>
    <row r="959" spans="1:7">
      <c r="A959" s="1">
        <v>45474</v>
      </c>
      <c r="B959" t="s">
        <v>55</v>
      </c>
      <c r="C959" t="s">
        <v>15</v>
      </c>
      <c r="D959" t="s">
        <v>9</v>
      </c>
      <c r="E959">
        <v>69.52</v>
      </c>
      <c r="F959" s="55">
        <v>8</v>
      </c>
      <c r="G959">
        <f t="shared" si="33"/>
        <v>556.16</v>
      </c>
    </row>
    <row r="960" spans="1:7">
      <c r="A960" s="1">
        <v>45475</v>
      </c>
      <c r="B960" t="s">
        <v>55</v>
      </c>
      <c r="C960" t="s">
        <v>15</v>
      </c>
      <c r="D960" t="s">
        <v>9</v>
      </c>
      <c r="E960">
        <v>69.52</v>
      </c>
      <c r="F960" s="55">
        <v>7</v>
      </c>
      <c r="G960">
        <f t="shared" si="33"/>
        <v>486.64</v>
      </c>
    </row>
    <row r="961" spans="1:7">
      <c r="A961" s="1">
        <v>45476</v>
      </c>
      <c r="B961" t="s">
        <v>55</v>
      </c>
      <c r="C961" t="s">
        <v>15</v>
      </c>
      <c r="D961" t="s">
        <v>9</v>
      </c>
      <c r="E961">
        <v>69.52</v>
      </c>
      <c r="F961" s="55">
        <v>6</v>
      </c>
      <c r="G961">
        <f t="shared" si="33"/>
        <v>417.12</v>
      </c>
    </row>
    <row r="962" spans="1:7">
      <c r="A962" s="1">
        <v>45477</v>
      </c>
      <c r="B962" t="s">
        <v>55</v>
      </c>
      <c r="C962" t="s">
        <v>15</v>
      </c>
      <c r="D962" t="s">
        <v>9</v>
      </c>
      <c r="E962">
        <v>69.52</v>
      </c>
      <c r="F962" s="55">
        <v>3</v>
      </c>
      <c r="G962">
        <f t="shared" si="33"/>
        <v>208.56</v>
      </c>
    </row>
    <row r="963" spans="1:7">
      <c r="A963" s="1">
        <v>45478</v>
      </c>
      <c r="B963" t="s">
        <v>55</v>
      </c>
      <c r="C963" t="s">
        <v>15</v>
      </c>
      <c r="D963" t="s">
        <v>9</v>
      </c>
      <c r="E963">
        <v>69.52</v>
      </c>
      <c r="F963" s="55">
        <v>7</v>
      </c>
      <c r="G963">
        <f t="shared" ref="G963:G1026" si="34">F963*E963</f>
        <v>486.64</v>
      </c>
    </row>
    <row r="964" spans="1:7">
      <c r="A964" s="1">
        <v>45479</v>
      </c>
      <c r="B964" t="s">
        <v>55</v>
      </c>
      <c r="C964" t="s">
        <v>15</v>
      </c>
      <c r="D964" t="s">
        <v>9</v>
      </c>
      <c r="E964">
        <v>69.52</v>
      </c>
      <c r="F964" s="55">
        <v>0</v>
      </c>
      <c r="G964">
        <f t="shared" si="34"/>
        <v>0</v>
      </c>
    </row>
    <row r="965" spans="1:7">
      <c r="A965" s="1">
        <v>45480</v>
      </c>
      <c r="B965" t="s">
        <v>55</v>
      </c>
      <c r="C965" t="s">
        <v>15</v>
      </c>
      <c r="D965" t="s">
        <v>9</v>
      </c>
      <c r="E965">
        <v>69.52</v>
      </c>
      <c r="F965" s="55">
        <v>0</v>
      </c>
      <c r="G965">
        <f t="shared" si="34"/>
        <v>0</v>
      </c>
    </row>
    <row r="966" spans="1:7">
      <c r="A966" s="1">
        <v>45481</v>
      </c>
      <c r="B966" t="s">
        <v>55</v>
      </c>
      <c r="C966" t="s">
        <v>15</v>
      </c>
      <c r="D966" t="s">
        <v>9</v>
      </c>
      <c r="E966">
        <v>69.52</v>
      </c>
      <c r="F966" s="55">
        <v>7</v>
      </c>
      <c r="G966">
        <f t="shared" si="34"/>
        <v>486.64</v>
      </c>
    </row>
    <row r="967" spans="1:7">
      <c r="A967" s="1">
        <v>45482</v>
      </c>
      <c r="B967" t="s">
        <v>55</v>
      </c>
      <c r="C967" t="s">
        <v>15</v>
      </c>
      <c r="D967" t="s">
        <v>9</v>
      </c>
      <c r="E967">
        <v>69.52</v>
      </c>
      <c r="F967" s="55">
        <v>6</v>
      </c>
      <c r="G967">
        <f t="shared" si="34"/>
        <v>417.12</v>
      </c>
    </row>
    <row r="968" spans="1:7">
      <c r="A968" s="1">
        <v>45483</v>
      </c>
      <c r="B968" t="s">
        <v>55</v>
      </c>
      <c r="C968" t="s">
        <v>15</v>
      </c>
      <c r="D968" t="s">
        <v>9</v>
      </c>
      <c r="E968">
        <v>69.52</v>
      </c>
      <c r="F968" s="55">
        <v>6</v>
      </c>
      <c r="G968">
        <f t="shared" si="34"/>
        <v>417.12</v>
      </c>
    </row>
    <row r="969" spans="1:7">
      <c r="A969" s="1">
        <v>45484</v>
      </c>
      <c r="B969" t="s">
        <v>55</v>
      </c>
      <c r="C969" t="s">
        <v>15</v>
      </c>
      <c r="D969" t="s">
        <v>9</v>
      </c>
      <c r="E969">
        <v>69.52</v>
      </c>
      <c r="F969" s="55">
        <v>6</v>
      </c>
      <c r="G969">
        <f t="shared" si="34"/>
        <v>417.12</v>
      </c>
    </row>
    <row r="970" spans="1:7">
      <c r="A970" s="1">
        <v>45485</v>
      </c>
      <c r="B970" t="s">
        <v>55</v>
      </c>
      <c r="C970" t="s">
        <v>15</v>
      </c>
      <c r="D970" t="s">
        <v>9</v>
      </c>
      <c r="E970">
        <v>69.52</v>
      </c>
      <c r="F970" s="55">
        <v>4</v>
      </c>
      <c r="G970">
        <f t="shared" si="34"/>
        <v>278.08</v>
      </c>
    </row>
    <row r="971" spans="1:7">
      <c r="A971" s="1">
        <v>45486</v>
      </c>
      <c r="B971" t="s">
        <v>55</v>
      </c>
      <c r="C971" t="s">
        <v>15</v>
      </c>
      <c r="D971" t="s">
        <v>9</v>
      </c>
      <c r="E971">
        <v>69.52</v>
      </c>
      <c r="F971" s="55">
        <v>0</v>
      </c>
      <c r="G971">
        <f t="shared" si="34"/>
        <v>0</v>
      </c>
    </row>
    <row r="972" spans="1:7">
      <c r="A972" s="1">
        <v>45487</v>
      </c>
      <c r="B972" t="s">
        <v>55</v>
      </c>
      <c r="C972" t="s">
        <v>15</v>
      </c>
      <c r="D972" t="s">
        <v>9</v>
      </c>
      <c r="E972">
        <v>69.52</v>
      </c>
      <c r="F972" s="55">
        <v>0</v>
      </c>
      <c r="G972">
        <f t="shared" si="34"/>
        <v>0</v>
      </c>
    </row>
    <row r="973" spans="1:7">
      <c r="A973" s="1">
        <v>45488</v>
      </c>
      <c r="B973" t="s">
        <v>55</v>
      </c>
      <c r="C973" t="s">
        <v>15</v>
      </c>
      <c r="D973" t="s">
        <v>9</v>
      </c>
      <c r="E973">
        <v>69.52</v>
      </c>
      <c r="F973" s="55">
        <v>5</v>
      </c>
      <c r="G973">
        <f t="shared" si="34"/>
        <v>347.59999999999997</v>
      </c>
    </row>
    <row r="974" spans="1:7">
      <c r="A974" s="1">
        <v>45489</v>
      </c>
      <c r="B974" t="s">
        <v>55</v>
      </c>
      <c r="C974" t="s">
        <v>15</v>
      </c>
      <c r="D974" t="s">
        <v>9</v>
      </c>
      <c r="E974">
        <v>69.52</v>
      </c>
      <c r="F974" s="55">
        <v>7</v>
      </c>
      <c r="G974">
        <f t="shared" si="34"/>
        <v>486.64</v>
      </c>
    </row>
    <row r="975" spans="1:7">
      <c r="A975" s="1">
        <v>45490</v>
      </c>
      <c r="B975" t="s">
        <v>55</v>
      </c>
      <c r="C975" t="s">
        <v>15</v>
      </c>
      <c r="D975" t="s">
        <v>9</v>
      </c>
      <c r="E975">
        <v>69.52</v>
      </c>
      <c r="F975" s="55">
        <v>3</v>
      </c>
      <c r="G975">
        <f t="shared" si="34"/>
        <v>208.56</v>
      </c>
    </row>
    <row r="976" spans="1:7">
      <c r="A976" s="1">
        <v>45491</v>
      </c>
      <c r="B976" t="s">
        <v>55</v>
      </c>
      <c r="C976" t="s">
        <v>15</v>
      </c>
      <c r="D976" t="s">
        <v>9</v>
      </c>
      <c r="E976">
        <v>69.52</v>
      </c>
      <c r="F976" s="55">
        <v>4</v>
      </c>
      <c r="G976">
        <f t="shared" si="34"/>
        <v>278.08</v>
      </c>
    </row>
    <row r="977" spans="1:7">
      <c r="A977" s="1">
        <v>45492</v>
      </c>
      <c r="B977" t="s">
        <v>55</v>
      </c>
      <c r="C977" t="s">
        <v>15</v>
      </c>
      <c r="D977" t="s">
        <v>9</v>
      </c>
      <c r="E977">
        <v>69.52</v>
      </c>
      <c r="F977" s="55">
        <v>5</v>
      </c>
      <c r="G977">
        <f t="shared" si="34"/>
        <v>347.59999999999997</v>
      </c>
    </row>
    <row r="978" spans="1:7">
      <c r="A978" s="1">
        <v>45493</v>
      </c>
      <c r="B978" t="s">
        <v>55</v>
      </c>
      <c r="C978" t="s">
        <v>15</v>
      </c>
      <c r="D978" t="s">
        <v>9</v>
      </c>
      <c r="E978">
        <v>69.52</v>
      </c>
      <c r="F978" s="55">
        <v>0</v>
      </c>
      <c r="G978">
        <f t="shared" si="34"/>
        <v>0</v>
      </c>
    </row>
    <row r="979" spans="1:7">
      <c r="A979" s="1">
        <v>45494</v>
      </c>
      <c r="B979" t="s">
        <v>55</v>
      </c>
      <c r="C979" t="s">
        <v>15</v>
      </c>
      <c r="D979" t="s">
        <v>9</v>
      </c>
      <c r="E979">
        <v>69.52</v>
      </c>
      <c r="F979" s="55">
        <v>0</v>
      </c>
      <c r="G979">
        <f t="shared" si="34"/>
        <v>0</v>
      </c>
    </row>
    <row r="980" spans="1:7">
      <c r="A980" s="1">
        <v>45495</v>
      </c>
      <c r="B980" t="s">
        <v>55</v>
      </c>
      <c r="C980" t="s">
        <v>15</v>
      </c>
      <c r="D980" t="s">
        <v>9</v>
      </c>
      <c r="E980">
        <v>69.52</v>
      </c>
      <c r="F980" s="55">
        <v>5</v>
      </c>
      <c r="G980">
        <f t="shared" si="34"/>
        <v>347.59999999999997</v>
      </c>
    </row>
    <row r="981" spans="1:7">
      <c r="A981" s="1">
        <v>45496</v>
      </c>
      <c r="B981" t="s">
        <v>55</v>
      </c>
      <c r="C981" t="s">
        <v>15</v>
      </c>
      <c r="D981" t="s">
        <v>9</v>
      </c>
      <c r="E981">
        <v>69.52</v>
      </c>
      <c r="F981" s="55">
        <v>3</v>
      </c>
      <c r="G981">
        <f t="shared" si="34"/>
        <v>208.56</v>
      </c>
    </row>
    <row r="982" spans="1:7">
      <c r="A982" s="1">
        <v>45497</v>
      </c>
      <c r="B982" t="s">
        <v>55</v>
      </c>
      <c r="C982" t="s">
        <v>15</v>
      </c>
      <c r="D982" t="s">
        <v>9</v>
      </c>
      <c r="E982">
        <v>69.52</v>
      </c>
      <c r="F982" s="55">
        <v>17</v>
      </c>
      <c r="G982">
        <f t="shared" si="34"/>
        <v>1181.8399999999999</v>
      </c>
    </row>
    <row r="983" spans="1:7">
      <c r="A983" s="1">
        <v>45498</v>
      </c>
      <c r="B983" t="s">
        <v>55</v>
      </c>
      <c r="C983" t="s">
        <v>15</v>
      </c>
      <c r="D983" t="s">
        <v>9</v>
      </c>
      <c r="E983">
        <v>69.52</v>
      </c>
      <c r="F983" s="55">
        <v>4</v>
      </c>
      <c r="G983">
        <f t="shared" si="34"/>
        <v>278.08</v>
      </c>
    </row>
    <row r="984" spans="1:7">
      <c r="A984" s="1">
        <v>45499</v>
      </c>
      <c r="B984" t="s">
        <v>55</v>
      </c>
      <c r="C984" t="s">
        <v>15</v>
      </c>
      <c r="D984" t="s">
        <v>9</v>
      </c>
      <c r="E984">
        <v>69.52</v>
      </c>
      <c r="F984" s="55">
        <v>5</v>
      </c>
      <c r="G984">
        <f t="shared" si="34"/>
        <v>347.59999999999997</v>
      </c>
    </row>
    <row r="985" spans="1:7">
      <c r="A985" s="1">
        <v>45500</v>
      </c>
      <c r="B985" t="s">
        <v>55</v>
      </c>
      <c r="C985" t="s">
        <v>15</v>
      </c>
      <c r="D985" t="s">
        <v>9</v>
      </c>
      <c r="E985">
        <v>69.52</v>
      </c>
      <c r="F985" s="55">
        <v>0</v>
      </c>
      <c r="G985">
        <f t="shared" si="34"/>
        <v>0</v>
      </c>
    </row>
    <row r="986" spans="1:7">
      <c r="A986" s="1">
        <v>45501</v>
      </c>
      <c r="B986" t="s">
        <v>55</v>
      </c>
      <c r="C986" t="s">
        <v>15</v>
      </c>
      <c r="D986" t="s">
        <v>9</v>
      </c>
      <c r="E986">
        <v>69.52</v>
      </c>
      <c r="F986" s="55">
        <v>0</v>
      </c>
      <c r="G986">
        <f t="shared" si="34"/>
        <v>0</v>
      </c>
    </row>
    <row r="987" spans="1:7">
      <c r="A987" s="1">
        <v>45502</v>
      </c>
      <c r="B987" t="s">
        <v>55</v>
      </c>
      <c r="C987" t="s">
        <v>15</v>
      </c>
      <c r="D987" t="s">
        <v>9</v>
      </c>
      <c r="E987">
        <v>69.52</v>
      </c>
      <c r="F987" s="55">
        <v>4</v>
      </c>
      <c r="G987">
        <f t="shared" si="34"/>
        <v>278.08</v>
      </c>
    </row>
    <row r="988" spans="1:7">
      <c r="A988" s="1">
        <v>45503</v>
      </c>
      <c r="B988" t="s">
        <v>55</v>
      </c>
      <c r="C988" t="s">
        <v>15</v>
      </c>
      <c r="D988" t="s">
        <v>9</v>
      </c>
      <c r="E988">
        <v>69.52</v>
      </c>
      <c r="F988" s="55">
        <v>5</v>
      </c>
      <c r="G988">
        <f t="shared" si="34"/>
        <v>347.59999999999997</v>
      </c>
    </row>
    <row r="989" spans="1:7">
      <c r="A989" s="1">
        <v>45504</v>
      </c>
      <c r="B989" t="s">
        <v>55</v>
      </c>
      <c r="C989" t="s">
        <v>15</v>
      </c>
      <c r="D989" t="s">
        <v>9</v>
      </c>
      <c r="E989">
        <v>69.52</v>
      </c>
      <c r="F989" s="55">
        <v>4</v>
      </c>
      <c r="G989">
        <f t="shared" si="34"/>
        <v>278.08</v>
      </c>
    </row>
    <row r="990" spans="1:7">
      <c r="A990" s="1">
        <v>45474</v>
      </c>
      <c r="B990" t="s">
        <v>55</v>
      </c>
      <c r="C990" t="s">
        <v>15</v>
      </c>
      <c r="D990" t="s">
        <v>45</v>
      </c>
      <c r="E990">
        <v>200</v>
      </c>
      <c r="G990">
        <f t="shared" si="34"/>
        <v>0</v>
      </c>
    </row>
    <row r="991" spans="1:7">
      <c r="A991" s="1">
        <v>45475</v>
      </c>
      <c r="B991" t="s">
        <v>55</v>
      </c>
      <c r="C991" t="s">
        <v>15</v>
      </c>
      <c r="D991" t="s">
        <v>45</v>
      </c>
      <c r="E991">
        <v>200</v>
      </c>
      <c r="G991">
        <f t="shared" si="34"/>
        <v>0</v>
      </c>
    </row>
    <row r="992" spans="1:7">
      <c r="A992" s="1">
        <v>45476</v>
      </c>
      <c r="B992" t="s">
        <v>55</v>
      </c>
      <c r="C992" t="s">
        <v>15</v>
      </c>
      <c r="D992" t="s">
        <v>45</v>
      </c>
      <c r="E992">
        <v>200</v>
      </c>
      <c r="G992">
        <f t="shared" si="34"/>
        <v>0</v>
      </c>
    </row>
    <row r="993" spans="1:7">
      <c r="A993" s="1">
        <v>45477</v>
      </c>
      <c r="B993" t="s">
        <v>55</v>
      </c>
      <c r="C993" t="s">
        <v>15</v>
      </c>
      <c r="D993" t="s">
        <v>45</v>
      </c>
      <c r="E993">
        <v>200</v>
      </c>
      <c r="G993">
        <f t="shared" si="34"/>
        <v>0</v>
      </c>
    </row>
    <row r="994" spans="1:7">
      <c r="A994" s="1">
        <v>45478</v>
      </c>
      <c r="B994" t="s">
        <v>55</v>
      </c>
      <c r="C994" t="s">
        <v>15</v>
      </c>
      <c r="D994" t="s">
        <v>45</v>
      </c>
      <c r="E994">
        <v>200</v>
      </c>
      <c r="G994">
        <f t="shared" si="34"/>
        <v>0</v>
      </c>
    </row>
    <row r="995" spans="1:7">
      <c r="A995" s="1">
        <v>45479</v>
      </c>
      <c r="B995" t="s">
        <v>55</v>
      </c>
      <c r="C995" t="s">
        <v>15</v>
      </c>
      <c r="D995" t="s">
        <v>45</v>
      </c>
      <c r="E995">
        <v>200</v>
      </c>
      <c r="G995">
        <f t="shared" si="34"/>
        <v>0</v>
      </c>
    </row>
    <row r="996" spans="1:7">
      <c r="A996" s="1">
        <v>45480</v>
      </c>
      <c r="B996" t="s">
        <v>55</v>
      </c>
      <c r="C996" t="s">
        <v>15</v>
      </c>
      <c r="D996" t="s">
        <v>45</v>
      </c>
      <c r="E996">
        <v>200</v>
      </c>
      <c r="G996">
        <f t="shared" si="34"/>
        <v>0</v>
      </c>
    </row>
    <row r="997" spans="1:7">
      <c r="A997" s="1">
        <v>45481</v>
      </c>
      <c r="B997" t="s">
        <v>55</v>
      </c>
      <c r="C997" t="s">
        <v>15</v>
      </c>
      <c r="D997" t="s">
        <v>45</v>
      </c>
      <c r="E997">
        <v>200</v>
      </c>
      <c r="G997">
        <f t="shared" si="34"/>
        <v>0</v>
      </c>
    </row>
    <row r="998" spans="1:7">
      <c r="A998" s="1">
        <v>45482</v>
      </c>
      <c r="B998" t="s">
        <v>55</v>
      </c>
      <c r="C998" t="s">
        <v>15</v>
      </c>
      <c r="D998" t="s">
        <v>45</v>
      </c>
      <c r="E998">
        <v>200</v>
      </c>
      <c r="G998">
        <f t="shared" si="34"/>
        <v>0</v>
      </c>
    </row>
    <row r="999" spans="1:7">
      <c r="A999" s="1">
        <v>45483</v>
      </c>
      <c r="B999" t="s">
        <v>55</v>
      </c>
      <c r="C999" t="s">
        <v>15</v>
      </c>
      <c r="D999" t="s">
        <v>45</v>
      </c>
      <c r="E999">
        <v>200</v>
      </c>
      <c r="G999">
        <f t="shared" si="34"/>
        <v>0</v>
      </c>
    </row>
    <row r="1000" spans="1:7">
      <c r="A1000" s="1">
        <v>45484</v>
      </c>
      <c r="B1000" t="s">
        <v>55</v>
      </c>
      <c r="C1000" t="s">
        <v>15</v>
      </c>
      <c r="D1000" t="s">
        <v>45</v>
      </c>
      <c r="E1000">
        <v>200</v>
      </c>
      <c r="G1000">
        <f t="shared" si="34"/>
        <v>0</v>
      </c>
    </row>
    <row r="1001" spans="1:7">
      <c r="A1001" s="1">
        <v>45485</v>
      </c>
      <c r="B1001" t="s">
        <v>55</v>
      </c>
      <c r="C1001" t="s">
        <v>15</v>
      </c>
      <c r="D1001" t="s">
        <v>45</v>
      </c>
      <c r="E1001">
        <v>200</v>
      </c>
      <c r="G1001">
        <f t="shared" si="34"/>
        <v>0</v>
      </c>
    </row>
    <row r="1002" spans="1:7">
      <c r="A1002" s="1">
        <v>45486</v>
      </c>
      <c r="B1002" t="s">
        <v>55</v>
      </c>
      <c r="C1002" t="s">
        <v>15</v>
      </c>
      <c r="D1002" t="s">
        <v>45</v>
      </c>
      <c r="E1002">
        <v>200</v>
      </c>
      <c r="G1002">
        <f t="shared" si="34"/>
        <v>0</v>
      </c>
    </row>
    <row r="1003" spans="1:7">
      <c r="A1003" s="1">
        <v>45487</v>
      </c>
      <c r="B1003" t="s">
        <v>55</v>
      </c>
      <c r="C1003" t="s">
        <v>15</v>
      </c>
      <c r="D1003" t="s">
        <v>45</v>
      </c>
      <c r="E1003">
        <v>200</v>
      </c>
      <c r="G1003">
        <f t="shared" si="34"/>
        <v>0</v>
      </c>
    </row>
    <row r="1004" spans="1:7">
      <c r="A1004" s="1">
        <v>45488</v>
      </c>
      <c r="B1004" t="s">
        <v>55</v>
      </c>
      <c r="C1004" t="s">
        <v>15</v>
      </c>
      <c r="D1004" t="s">
        <v>45</v>
      </c>
      <c r="E1004">
        <v>200</v>
      </c>
      <c r="G1004">
        <f t="shared" si="34"/>
        <v>0</v>
      </c>
    </row>
    <row r="1005" spans="1:7">
      <c r="A1005" s="1">
        <v>45489</v>
      </c>
      <c r="B1005" t="s">
        <v>55</v>
      </c>
      <c r="C1005" t="s">
        <v>15</v>
      </c>
      <c r="D1005" t="s">
        <v>45</v>
      </c>
      <c r="E1005">
        <v>200</v>
      </c>
      <c r="G1005">
        <f t="shared" si="34"/>
        <v>0</v>
      </c>
    </row>
    <row r="1006" spans="1:7">
      <c r="A1006" s="1">
        <v>45490</v>
      </c>
      <c r="B1006" t="s">
        <v>55</v>
      </c>
      <c r="C1006" t="s">
        <v>15</v>
      </c>
      <c r="D1006" t="s">
        <v>45</v>
      </c>
      <c r="E1006">
        <v>200</v>
      </c>
      <c r="G1006">
        <f t="shared" si="34"/>
        <v>0</v>
      </c>
    </row>
    <row r="1007" spans="1:7">
      <c r="A1007" s="1">
        <v>45491</v>
      </c>
      <c r="B1007" t="s">
        <v>55</v>
      </c>
      <c r="C1007" t="s">
        <v>15</v>
      </c>
      <c r="D1007" t="s">
        <v>45</v>
      </c>
      <c r="E1007">
        <v>200</v>
      </c>
      <c r="G1007">
        <f t="shared" si="34"/>
        <v>0</v>
      </c>
    </row>
    <row r="1008" spans="1:7">
      <c r="A1008" s="1">
        <v>45492</v>
      </c>
      <c r="B1008" t="s">
        <v>55</v>
      </c>
      <c r="C1008" t="s">
        <v>15</v>
      </c>
      <c r="D1008" t="s">
        <v>45</v>
      </c>
      <c r="E1008">
        <v>200</v>
      </c>
      <c r="G1008">
        <f t="shared" si="34"/>
        <v>0</v>
      </c>
    </row>
    <row r="1009" spans="1:7">
      <c r="A1009" s="1">
        <v>45493</v>
      </c>
      <c r="B1009" t="s">
        <v>55</v>
      </c>
      <c r="C1009" t="s">
        <v>15</v>
      </c>
      <c r="D1009" t="s">
        <v>45</v>
      </c>
      <c r="E1009">
        <v>200</v>
      </c>
      <c r="G1009">
        <f t="shared" si="34"/>
        <v>0</v>
      </c>
    </row>
    <row r="1010" spans="1:7">
      <c r="A1010" s="1">
        <v>45494</v>
      </c>
      <c r="B1010" t="s">
        <v>55</v>
      </c>
      <c r="C1010" t="s">
        <v>15</v>
      </c>
      <c r="D1010" t="s">
        <v>45</v>
      </c>
      <c r="E1010">
        <v>200</v>
      </c>
      <c r="G1010">
        <f t="shared" si="34"/>
        <v>0</v>
      </c>
    </row>
    <row r="1011" spans="1:7">
      <c r="A1011" s="1">
        <v>45495</v>
      </c>
      <c r="B1011" t="s">
        <v>55</v>
      </c>
      <c r="C1011" t="s">
        <v>15</v>
      </c>
      <c r="D1011" t="s">
        <v>45</v>
      </c>
      <c r="E1011">
        <v>200</v>
      </c>
      <c r="G1011">
        <f t="shared" si="34"/>
        <v>0</v>
      </c>
    </row>
    <row r="1012" spans="1:7">
      <c r="A1012" s="1">
        <v>45496</v>
      </c>
      <c r="B1012" t="s">
        <v>55</v>
      </c>
      <c r="C1012" t="s">
        <v>15</v>
      </c>
      <c r="D1012" t="s">
        <v>45</v>
      </c>
      <c r="E1012">
        <v>200</v>
      </c>
      <c r="G1012">
        <f t="shared" si="34"/>
        <v>0</v>
      </c>
    </row>
    <row r="1013" spans="1:7">
      <c r="A1013" s="1">
        <v>45497</v>
      </c>
      <c r="B1013" t="s">
        <v>55</v>
      </c>
      <c r="C1013" t="s">
        <v>15</v>
      </c>
      <c r="D1013" t="s">
        <v>45</v>
      </c>
      <c r="E1013">
        <v>200</v>
      </c>
      <c r="G1013">
        <f t="shared" si="34"/>
        <v>0</v>
      </c>
    </row>
    <row r="1014" spans="1:7">
      <c r="A1014" s="1">
        <v>45498</v>
      </c>
      <c r="B1014" t="s">
        <v>55</v>
      </c>
      <c r="C1014" t="s">
        <v>15</v>
      </c>
      <c r="D1014" t="s">
        <v>45</v>
      </c>
      <c r="E1014">
        <v>200</v>
      </c>
      <c r="G1014">
        <f t="shared" si="34"/>
        <v>0</v>
      </c>
    </row>
    <row r="1015" spans="1:7">
      <c r="A1015" s="1">
        <v>45499</v>
      </c>
      <c r="B1015" t="s">
        <v>55</v>
      </c>
      <c r="C1015" t="s">
        <v>15</v>
      </c>
      <c r="D1015" t="s">
        <v>45</v>
      </c>
      <c r="E1015">
        <v>200</v>
      </c>
      <c r="G1015">
        <f t="shared" si="34"/>
        <v>0</v>
      </c>
    </row>
    <row r="1016" spans="1:7">
      <c r="A1016" s="1">
        <v>45500</v>
      </c>
      <c r="B1016" t="s">
        <v>55</v>
      </c>
      <c r="C1016" t="s">
        <v>15</v>
      </c>
      <c r="D1016" t="s">
        <v>45</v>
      </c>
      <c r="E1016">
        <v>200</v>
      </c>
      <c r="G1016">
        <f t="shared" si="34"/>
        <v>0</v>
      </c>
    </row>
    <row r="1017" spans="1:7">
      <c r="A1017" s="1">
        <v>45501</v>
      </c>
      <c r="B1017" t="s">
        <v>55</v>
      </c>
      <c r="C1017" t="s">
        <v>15</v>
      </c>
      <c r="D1017" t="s">
        <v>45</v>
      </c>
      <c r="E1017">
        <v>200</v>
      </c>
      <c r="G1017">
        <f t="shared" si="34"/>
        <v>0</v>
      </c>
    </row>
    <row r="1018" spans="1:7">
      <c r="A1018" s="1">
        <v>45502</v>
      </c>
      <c r="B1018" t="s">
        <v>55</v>
      </c>
      <c r="C1018" t="s">
        <v>15</v>
      </c>
      <c r="D1018" t="s">
        <v>45</v>
      </c>
      <c r="E1018">
        <v>200</v>
      </c>
      <c r="G1018">
        <f t="shared" si="34"/>
        <v>0</v>
      </c>
    </row>
    <row r="1019" spans="1:7">
      <c r="A1019" s="1">
        <v>45503</v>
      </c>
      <c r="B1019" t="s">
        <v>55</v>
      </c>
      <c r="C1019" t="s">
        <v>15</v>
      </c>
      <c r="D1019" t="s">
        <v>45</v>
      </c>
      <c r="E1019">
        <v>200</v>
      </c>
      <c r="G1019">
        <f t="shared" si="34"/>
        <v>0</v>
      </c>
    </row>
    <row r="1020" spans="1:7">
      <c r="A1020" s="1">
        <v>45504</v>
      </c>
      <c r="B1020" t="s">
        <v>55</v>
      </c>
      <c r="C1020" t="s">
        <v>15</v>
      </c>
      <c r="D1020" t="s">
        <v>45</v>
      </c>
      <c r="E1020">
        <v>200</v>
      </c>
      <c r="G1020">
        <f t="shared" si="34"/>
        <v>0</v>
      </c>
    </row>
    <row r="1021" spans="1:7">
      <c r="A1021" s="1">
        <v>45474</v>
      </c>
      <c r="B1021" t="s">
        <v>55</v>
      </c>
      <c r="C1021" t="s">
        <v>15</v>
      </c>
      <c r="D1021" t="s">
        <v>46</v>
      </c>
      <c r="E1021">
        <v>220</v>
      </c>
      <c r="F1021" s="55">
        <v>0</v>
      </c>
      <c r="G1021">
        <f t="shared" si="34"/>
        <v>0</v>
      </c>
    </row>
    <row r="1022" spans="1:7">
      <c r="A1022" s="1">
        <v>45475</v>
      </c>
      <c r="B1022" t="s">
        <v>55</v>
      </c>
      <c r="C1022" t="s">
        <v>15</v>
      </c>
      <c r="D1022" t="s">
        <v>46</v>
      </c>
      <c r="E1022">
        <v>220</v>
      </c>
      <c r="F1022" s="55">
        <v>1</v>
      </c>
      <c r="G1022">
        <f t="shared" si="34"/>
        <v>220</v>
      </c>
    </row>
    <row r="1023" spans="1:7">
      <c r="A1023" s="1">
        <v>45476</v>
      </c>
      <c r="B1023" t="s">
        <v>55</v>
      </c>
      <c r="C1023" t="s">
        <v>15</v>
      </c>
      <c r="D1023" t="s">
        <v>46</v>
      </c>
      <c r="E1023">
        <v>220</v>
      </c>
      <c r="F1023" s="55">
        <v>0</v>
      </c>
      <c r="G1023">
        <f t="shared" si="34"/>
        <v>0</v>
      </c>
    </row>
    <row r="1024" spans="1:7">
      <c r="A1024" s="1">
        <v>45477</v>
      </c>
      <c r="B1024" t="s">
        <v>55</v>
      </c>
      <c r="C1024" t="s">
        <v>15</v>
      </c>
      <c r="D1024" t="s">
        <v>46</v>
      </c>
      <c r="E1024">
        <v>220</v>
      </c>
      <c r="F1024" s="55">
        <v>0</v>
      </c>
      <c r="G1024">
        <f t="shared" si="34"/>
        <v>0</v>
      </c>
    </row>
    <row r="1025" spans="1:7">
      <c r="A1025" s="1">
        <v>45478</v>
      </c>
      <c r="B1025" t="s">
        <v>55</v>
      </c>
      <c r="C1025" t="s">
        <v>15</v>
      </c>
      <c r="D1025" t="s">
        <v>46</v>
      </c>
      <c r="E1025">
        <v>220</v>
      </c>
      <c r="F1025" s="55">
        <v>0</v>
      </c>
      <c r="G1025">
        <f t="shared" si="34"/>
        <v>0</v>
      </c>
    </row>
    <row r="1026" spans="1:7">
      <c r="A1026" s="1">
        <v>45479</v>
      </c>
      <c r="B1026" t="s">
        <v>55</v>
      </c>
      <c r="C1026" t="s">
        <v>15</v>
      </c>
      <c r="D1026" t="s">
        <v>46</v>
      </c>
      <c r="E1026">
        <v>220</v>
      </c>
      <c r="F1026" s="55">
        <v>0</v>
      </c>
      <c r="G1026">
        <f t="shared" si="34"/>
        <v>0</v>
      </c>
    </row>
    <row r="1027" spans="1:7">
      <c r="A1027" s="1">
        <v>45480</v>
      </c>
      <c r="B1027" t="s">
        <v>55</v>
      </c>
      <c r="C1027" t="s">
        <v>15</v>
      </c>
      <c r="D1027" t="s">
        <v>46</v>
      </c>
      <c r="E1027">
        <v>220</v>
      </c>
      <c r="F1027" s="55">
        <v>0</v>
      </c>
      <c r="G1027">
        <f t="shared" ref="G1027:G1090" si="35">F1027*E1027</f>
        <v>0</v>
      </c>
    </row>
    <row r="1028" spans="1:7">
      <c r="A1028" s="1">
        <v>45481</v>
      </c>
      <c r="B1028" t="s">
        <v>55</v>
      </c>
      <c r="C1028" t="s">
        <v>15</v>
      </c>
      <c r="D1028" t="s">
        <v>46</v>
      </c>
      <c r="E1028">
        <v>220</v>
      </c>
      <c r="F1028" s="55">
        <v>1</v>
      </c>
      <c r="G1028">
        <f t="shared" si="35"/>
        <v>220</v>
      </c>
    </row>
    <row r="1029" spans="1:7">
      <c r="A1029" s="1">
        <v>45482</v>
      </c>
      <c r="B1029" t="s">
        <v>55</v>
      </c>
      <c r="C1029" t="s">
        <v>15</v>
      </c>
      <c r="D1029" t="s">
        <v>46</v>
      </c>
      <c r="E1029">
        <v>220</v>
      </c>
      <c r="F1029" s="55">
        <v>0</v>
      </c>
      <c r="G1029">
        <f t="shared" si="35"/>
        <v>0</v>
      </c>
    </row>
    <row r="1030" spans="1:7">
      <c r="A1030" s="1">
        <v>45483</v>
      </c>
      <c r="B1030" t="s">
        <v>55</v>
      </c>
      <c r="C1030" t="s">
        <v>15</v>
      </c>
      <c r="D1030" t="s">
        <v>46</v>
      </c>
      <c r="E1030">
        <v>220</v>
      </c>
      <c r="F1030" s="55">
        <v>0</v>
      </c>
      <c r="G1030">
        <f t="shared" si="35"/>
        <v>0</v>
      </c>
    </row>
    <row r="1031" spans="1:7">
      <c r="A1031" s="1">
        <v>45484</v>
      </c>
      <c r="B1031" t="s">
        <v>55</v>
      </c>
      <c r="C1031" t="s">
        <v>15</v>
      </c>
      <c r="D1031" t="s">
        <v>46</v>
      </c>
      <c r="E1031">
        <v>220</v>
      </c>
      <c r="F1031" s="55">
        <v>0</v>
      </c>
      <c r="G1031">
        <f t="shared" si="35"/>
        <v>0</v>
      </c>
    </row>
    <row r="1032" spans="1:7">
      <c r="A1032" s="1">
        <v>45485</v>
      </c>
      <c r="B1032" t="s">
        <v>55</v>
      </c>
      <c r="C1032" t="s">
        <v>15</v>
      </c>
      <c r="D1032" t="s">
        <v>46</v>
      </c>
      <c r="E1032">
        <v>220</v>
      </c>
      <c r="F1032" s="55">
        <v>0</v>
      </c>
      <c r="G1032">
        <f t="shared" si="35"/>
        <v>0</v>
      </c>
    </row>
    <row r="1033" spans="1:7">
      <c r="A1033" s="1">
        <v>45486</v>
      </c>
      <c r="B1033" t="s">
        <v>55</v>
      </c>
      <c r="C1033" t="s">
        <v>15</v>
      </c>
      <c r="D1033" t="s">
        <v>46</v>
      </c>
      <c r="E1033">
        <v>220</v>
      </c>
      <c r="F1033" s="55">
        <v>0</v>
      </c>
      <c r="G1033">
        <f t="shared" si="35"/>
        <v>0</v>
      </c>
    </row>
    <row r="1034" spans="1:7">
      <c r="A1034" s="1">
        <v>45487</v>
      </c>
      <c r="B1034" t="s">
        <v>55</v>
      </c>
      <c r="C1034" t="s">
        <v>15</v>
      </c>
      <c r="D1034" t="s">
        <v>46</v>
      </c>
      <c r="E1034">
        <v>220</v>
      </c>
      <c r="F1034" s="55">
        <v>0</v>
      </c>
      <c r="G1034">
        <f t="shared" si="35"/>
        <v>0</v>
      </c>
    </row>
    <row r="1035" spans="1:7">
      <c r="A1035" s="1">
        <v>45488</v>
      </c>
      <c r="B1035" t="s">
        <v>55</v>
      </c>
      <c r="C1035" t="s">
        <v>15</v>
      </c>
      <c r="D1035" t="s">
        <v>46</v>
      </c>
      <c r="E1035">
        <v>220</v>
      </c>
      <c r="F1035" s="55">
        <v>1</v>
      </c>
      <c r="G1035">
        <f t="shared" si="35"/>
        <v>220</v>
      </c>
    </row>
    <row r="1036" spans="1:7">
      <c r="A1036" s="1">
        <v>45489</v>
      </c>
      <c r="B1036" t="s">
        <v>55</v>
      </c>
      <c r="C1036" t="s">
        <v>15</v>
      </c>
      <c r="D1036" t="s">
        <v>46</v>
      </c>
      <c r="E1036">
        <v>220</v>
      </c>
      <c r="F1036" s="55">
        <v>0</v>
      </c>
      <c r="G1036">
        <f t="shared" si="35"/>
        <v>0</v>
      </c>
    </row>
    <row r="1037" spans="1:7">
      <c r="A1037" s="1">
        <v>45490</v>
      </c>
      <c r="B1037" t="s">
        <v>55</v>
      </c>
      <c r="C1037" t="s">
        <v>15</v>
      </c>
      <c r="D1037" t="s">
        <v>46</v>
      </c>
      <c r="E1037">
        <v>220</v>
      </c>
      <c r="F1037" s="55">
        <v>0</v>
      </c>
      <c r="G1037">
        <f t="shared" si="35"/>
        <v>0</v>
      </c>
    </row>
    <row r="1038" spans="1:7">
      <c r="A1038" s="1">
        <v>45491</v>
      </c>
      <c r="B1038" t="s">
        <v>55</v>
      </c>
      <c r="C1038" t="s">
        <v>15</v>
      </c>
      <c r="D1038" t="s">
        <v>46</v>
      </c>
      <c r="E1038">
        <v>220</v>
      </c>
      <c r="F1038" s="55">
        <v>0</v>
      </c>
      <c r="G1038">
        <f t="shared" si="35"/>
        <v>0</v>
      </c>
    </row>
    <row r="1039" spans="1:7">
      <c r="A1039" s="1">
        <v>45492</v>
      </c>
      <c r="B1039" t="s">
        <v>55</v>
      </c>
      <c r="C1039" t="s">
        <v>15</v>
      </c>
      <c r="D1039" t="s">
        <v>46</v>
      </c>
      <c r="E1039">
        <v>220</v>
      </c>
      <c r="F1039" s="55">
        <v>0</v>
      </c>
      <c r="G1039">
        <f t="shared" si="35"/>
        <v>0</v>
      </c>
    </row>
    <row r="1040" spans="1:7">
      <c r="A1040" s="1">
        <v>45493</v>
      </c>
      <c r="B1040" t="s">
        <v>55</v>
      </c>
      <c r="C1040" t="s">
        <v>15</v>
      </c>
      <c r="D1040" t="s">
        <v>46</v>
      </c>
      <c r="E1040">
        <v>220</v>
      </c>
      <c r="F1040" s="55">
        <v>0</v>
      </c>
      <c r="G1040">
        <f t="shared" si="35"/>
        <v>0</v>
      </c>
    </row>
    <row r="1041" spans="1:7">
      <c r="A1041" s="1">
        <v>45494</v>
      </c>
      <c r="B1041" t="s">
        <v>55</v>
      </c>
      <c r="C1041" t="s">
        <v>15</v>
      </c>
      <c r="D1041" t="s">
        <v>46</v>
      </c>
      <c r="E1041">
        <v>220</v>
      </c>
      <c r="F1041" s="55">
        <v>0</v>
      </c>
      <c r="G1041">
        <f t="shared" si="35"/>
        <v>0</v>
      </c>
    </row>
    <row r="1042" spans="1:7">
      <c r="A1042" s="1">
        <v>45495</v>
      </c>
      <c r="B1042" t="s">
        <v>55</v>
      </c>
      <c r="C1042" t="s">
        <v>15</v>
      </c>
      <c r="D1042" t="s">
        <v>46</v>
      </c>
      <c r="E1042">
        <v>220</v>
      </c>
      <c r="F1042" s="55">
        <v>0</v>
      </c>
      <c r="G1042">
        <f t="shared" si="35"/>
        <v>0</v>
      </c>
    </row>
    <row r="1043" spans="1:7">
      <c r="A1043" s="1">
        <v>45496</v>
      </c>
      <c r="B1043" t="s">
        <v>55</v>
      </c>
      <c r="C1043" t="s">
        <v>15</v>
      </c>
      <c r="D1043" t="s">
        <v>46</v>
      </c>
      <c r="E1043">
        <v>220</v>
      </c>
      <c r="F1043" s="55">
        <v>0</v>
      </c>
      <c r="G1043">
        <f t="shared" si="35"/>
        <v>0</v>
      </c>
    </row>
    <row r="1044" spans="1:7">
      <c r="A1044" s="1">
        <v>45497</v>
      </c>
      <c r="B1044" t="s">
        <v>55</v>
      </c>
      <c r="C1044" t="s">
        <v>15</v>
      </c>
      <c r="D1044" t="s">
        <v>46</v>
      </c>
      <c r="E1044">
        <v>220</v>
      </c>
      <c r="F1044" s="55">
        <v>1</v>
      </c>
      <c r="G1044">
        <f t="shared" si="35"/>
        <v>220</v>
      </c>
    </row>
    <row r="1045" spans="1:7">
      <c r="A1045" s="1">
        <v>45498</v>
      </c>
      <c r="B1045" t="s">
        <v>55</v>
      </c>
      <c r="C1045" t="s">
        <v>15</v>
      </c>
      <c r="D1045" t="s">
        <v>46</v>
      </c>
      <c r="E1045">
        <v>220</v>
      </c>
      <c r="F1045" s="55">
        <v>0</v>
      </c>
      <c r="G1045">
        <f t="shared" si="35"/>
        <v>0</v>
      </c>
    </row>
    <row r="1046" spans="1:7">
      <c r="A1046" s="1">
        <v>45499</v>
      </c>
      <c r="B1046" t="s">
        <v>55</v>
      </c>
      <c r="C1046" t="s">
        <v>15</v>
      </c>
      <c r="D1046" t="s">
        <v>46</v>
      </c>
      <c r="E1046">
        <v>220</v>
      </c>
      <c r="F1046" s="55">
        <v>0</v>
      </c>
      <c r="G1046">
        <f t="shared" si="35"/>
        <v>0</v>
      </c>
    </row>
    <row r="1047" spans="1:7">
      <c r="A1047" s="1">
        <v>45500</v>
      </c>
      <c r="B1047" t="s">
        <v>55</v>
      </c>
      <c r="C1047" t="s">
        <v>15</v>
      </c>
      <c r="D1047" t="s">
        <v>46</v>
      </c>
      <c r="E1047">
        <v>220</v>
      </c>
      <c r="F1047" s="55">
        <v>0</v>
      </c>
      <c r="G1047">
        <f t="shared" si="35"/>
        <v>0</v>
      </c>
    </row>
    <row r="1048" spans="1:7">
      <c r="A1048" s="1">
        <v>45501</v>
      </c>
      <c r="B1048" t="s">
        <v>55</v>
      </c>
      <c r="C1048" t="s">
        <v>15</v>
      </c>
      <c r="D1048" t="s">
        <v>46</v>
      </c>
      <c r="E1048">
        <v>220</v>
      </c>
      <c r="F1048" s="55">
        <v>0</v>
      </c>
      <c r="G1048">
        <f t="shared" si="35"/>
        <v>0</v>
      </c>
    </row>
    <row r="1049" spans="1:7">
      <c r="A1049" s="1">
        <v>45502</v>
      </c>
      <c r="B1049" t="s">
        <v>55</v>
      </c>
      <c r="C1049" t="s">
        <v>15</v>
      </c>
      <c r="D1049" t="s">
        <v>46</v>
      </c>
      <c r="E1049">
        <v>220</v>
      </c>
      <c r="F1049" s="55">
        <v>1</v>
      </c>
      <c r="G1049">
        <f t="shared" si="35"/>
        <v>220</v>
      </c>
    </row>
    <row r="1050" spans="1:7">
      <c r="A1050" s="1">
        <v>45503</v>
      </c>
      <c r="B1050" t="s">
        <v>55</v>
      </c>
      <c r="C1050" t="s">
        <v>15</v>
      </c>
      <c r="D1050" t="s">
        <v>46</v>
      </c>
      <c r="E1050">
        <v>220</v>
      </c>
      <c r="F1050" s="55">
        <v>0</v>
      </c>
      <c r="G1050">
        <f t="shared" si="35"/>
        <v>0</v>
      </c>
    </row>
    <row r="1051" spans="1:7">
      <c r="A1051" s="1">
        <v>45504</v>
      </c>
      <c r="B1051" t="s">
        <v>55</v>
      </c>
      <c r="C1051" t="s">
        <v>15</v>
      </c>
      <c r="D1051" t="s">
        <v>46</v>
      </c>
      <c r="E1051">
        <v>220</v>
      </c>
      <c r="F1051" s="55">
        <v>0</v>
      </c>
      <c r="G1051">
        <f t="shared" si="35"/>
        <v>0</v>
      </c>
    </row>
    <row r="1052" spans="1:7">
      <c r="A1052" s="1">
        <v>45474</v>
      </c>
      <c r="B1052" t="s">
        <v>55</v>
      </c>
      <c r="C1052" t="s">
        <v>15</v>
      </c>
      <c r="D1052" t="s">
        <v>47</v>
      </c>
      <c r="E1052">
        <v>220</v>
      </c>
      <c r="F1052" s="55">
        <v>1</v>
      </c>
      <c r="G1052">
        <f t="shared" si="35"/>
        <v>220</v>
      </c>
    </row>
    <row r="1053" spans="1:7">
      <c r="A1053" s="1">
        <v>45475</v>
      </c>
      <c r="B1053" t="s">
        <v>55</v>
      </c>
      <c r="C1053" t="s">
        <v>15</v>
      </c>
      <c r="D1053" t="s">
        <v>47</v>
      </c>
      <c r="E1053">
        <v>220</v>
      </c>
      <c r="F1053" s="55">
        <v>0</v>
      </c>
      <c r="G1053">
        <f t="shared" si="35"/>
        <v>0</v>
      </c>
    </row>
    <row r="1054" spans="1:7">
      <c r="A1054" s="1">
        <v>45476</v>
      </c>
      <c r="B1054" t="s">
        <v>55</v>
      </c>
      <c r="C1054" t="s">
        <v>15</v>
      </c>
      <c r="D1054" t="s">
        <v>47</v>
      </c>
      <c r="E1054">
        <v>220</v>
      </c>
      <c r="F1054" s="55">
        <v>0</v>
      </c>
      <c r="G1054">
        <f t="shared" si="35"/>
        <v>0</v>
      </c>
    </row>
    <row r="1055" spans="1:7">
      <c r="A1055" s="1">
        <v>45477</v>
      </c>
      <c r="B1055" t="s">
        <v>55</v>
      </c>
      <c r="C1055" t="s">
        <v>15</v>
      </c>
      <c r="D1055" t="s">
        <v>47</v>
      </c>
      <c r="E1055">
        <v>220</v>
      </c>
      <c r="F1055" s="55">
        <v>0</v>
      </c>
      <c r="G1055">
        <f t="shared" si="35"/>
        <v>0</v>
      </c>
    </row>
    <row r="1056" spans="1:7">
      <c r="A1056" s="1">
        <v>45478</v>
      </c>
      <c r="B1056" t="s">
        <v>55</v>
      </c>
      <c r="C1056" t="s">
        <v>15</v>
      </c>
      <c r="D1056" t="s">
        <v>47</v>
      </c>
      <c r="E1056">
        <v>220</v>
      </c>
      <c r="F1056" s="55">
        <v>1</v>
      </c>
      <c r="G1056">
        <f t="shared" si="35"/>
        <v>220</v>
      </c>
    </row>
    <row r="1057" spans="1:7">
      <c r="A1057" s="1">
        <v>45479</v>
      </c>
      <c r="B1057" t="s">
        <v>55</v>
      </c>
      <c r="C1057" t="s">
        <v>15</v>
      </c>
      <c r="D1057" t="s">
        <v>47</v>
      </c>
      <c r="E1057">
        <v>220</v>
      </c>
      <c r="F1057" s="55">
        <v>0</v>
      </c>
      <c r="G1057">
        <f t="shared" si="35"/>
        <v>0</v>
      </c>
    </row>
    <row r="1058" spans="1:7">
      <c r="A1058" s="1">
        <v>45480</v>
      </c>
      <c r="B1058" t="s">
        <v>55</v>
      </c>
      <c r="C1058" t="s">
        <v>15</v>
      </c>
      <c r="D1058" t="s">
        <v>47</v>
      </c>
      <c r="E1058">
        <v>220</v>
      </c>
      <c r="F1058" s="55">
        <v>0</v>
      </c>
      <c r="G1058">
        <f t="shared" si="35"/>
        <v>0</v>
      </c>
    </row>
    <row r="1059" spans="1:7">
      <c r="A1059" s="1">
        <v>45481</v>
      </c>
      <c r="B1059" t="s">
        <v>55</v>
      </c>
      <c r="C1059" t="s">
        <v>15</v>
      </c>
      <c r="D1059" t="s">
        <v>47</v>
      </c>
      <c r="E1059">
        <v>220</v>
      </c>
      <c r="F1059" s="55">
        <v>0</v>
      </c>
      <c r="G1059">
        <f t="shared" si="35"/>
        <v>0</v>
      </c>
    </row>
    <row r="1060" spans="1:7">
      <c r="A1060" s="1">
        <v>45482</v>
      </c>
      <c r="B1060" t="s">
        <v>55</v>
      </c>
      <c r="C1060" t="s">
        <v>15</v>
      </c>
      <c r="D1060" t="s">
        <v>47</v>
      </c>
      <c r="E1060">
        <v>220</v>
      </c>
      <c r="F1060" s="55">
        <v>0</v>
      </c>
      <c r="G1060">
        <f t="shared" si="35"/>
        <v>0</v>
      </c>
    </row>
    <row r="1061" spans="1:7">
      <c r="A1061" s="1">
        <v>45483</v>
      </c>
      <c r="B1061" t="s">
        <v>55</v>
      </c>
      <c r="C1061" t="s">
        <v>15</v>
      </c>
      <c r="D1061" t="s">
        <v>47</v>
      </c>
      <c r="E1061">
        <v>220</v>
      </c>
      <c r="F1061" s="55">
        <v>0</v>
      </c>
      <c r="G1061">
        <f t="shared" si="35"/>
        <v>0</v>
      </c>
    </row>
    <row r="1062" spans="1:7">
      <c r="A1062" s="1">
        <v>45484</v>
      </c>
      <c r="B1062" t="s">
        <v>55</v>
      </c>
      <c r="C1062" t="s">
        <v>15</v>
      </c>
      <c r="D1062" t="s">
        <v>47</v>
      </c>
      <c r="E1062">
        <v>220</v>
      </c>
      <c r="F1062" s="55">
        <v>1</v>
      </c>
      <c r="G1062">
        <f t="shared" si="35"/>
        <v>220</v>
      </c>
    </row>
    <row r="1063" spans="1:7">
      <c r="A1063" s="1">
        <v>45485</v>
      </c>
      <c r="B1063" t="s">
        <v>55</v>
      </c>
      <c r="C1063" t="s">
        <v>15</v>
      </c>
      <c r="D1063" t="s">
        <v>47</v>
      </c>
      <c r="E1063">
        <v>220</v>
      </c>
      <c r="F1063" s="55">
        <v>0</v>
      </c>
      <c r="G1063">
        <f t="shared" si="35"/>
        <v>0</v>
      </c>
    </row>
    <row r="1064" spans="1:7">
      <c r="A1064" s="1">
        <v>45486</v>
      </c>
      <c r="B1064" t="s">
        <v>55</v>
      </c>
      <c r="C1064" t="s">
        <v>15</v>
      </c>
      <c r="D1064" t="s">
        <v>47</v>
      </c>
      <c r="E1064">
        <v>220</v>
      </c>
      <c r="F1064" s="55">
        <v>0</v>
      </c>
      <c r="G1064">
        <f t="shared" si="35"/>
        <v>0</v>
      </c>
    </row>
    <row r="1065" spans="1:7">
      <c r="A1065" s="1">
        <v>45487</v>
      </c>
      <c r="B1065" t="s">
        <v>55</v>
      </c>
      <c r="C1065" t="s">
        <v>15</v>
      </c>
      <c r="D1065" t="s">
        <v>47</v>
      </c>
      <c r="E1065">
        <v>220</v>
      </c>
      <c r="F1065" s="55">
        <v>0</v>
      </c>
      <c r="G1065">
        <f t="shared" si="35"/>
        <v>0</v>
      </c>
    </row>
    <row r="1066" spans="1:7">
      <c r="A1066" s="1">
        <v>45488</v>
      </c>
      <c r="B1066" t="s">
        <v>55</v>
      </c>
      <c r="C1066" t="s">
        <v>15</v>
      </c>
      <c r="D1066" t="s">
        <v>47</v>
      </c>
      <c r="E1066">
        <v>220</v>
      </c>
      <c r="F1066" s="55">
        <v>0</v>
      </c>
      <c r="G1066">
        <f t="shared" si="35"/>
        <v>0</v>
      </c>
    </row>
    <row r="1067" spans="1:7">
      <c r="A1067" s="1">
        <v>45489</v>
      </c>
      <c r="B1067" t="s">
        <v>55</v>
      </c>
      <c r="C1067" t="s">
        <v>15</v>
      </c>
      <c r="D1067" t="s">
        <v>47</v>
      </c>
      <c r="E1067">
        <v>220</v>
      </c>
      <c r="F1067" s="55">
        <v>0</v>
      </c>
      <c r="G1067">
        <f t="shared" si="35"/>
        <v>0</v>
      </c>
    </row>
    <row r="1068" spans="1:7">
      <c r="A1068" s="1">
        <v>45490</v>
      </c>
      <c r="B1068" t="s">
        <v>55</v>
      </c>
      <c r="C1068" t="s">
        <v>15</v>
      </c>
      <c r="D1068" t="s">
        <v>47</v>
      </c>
      <c r="E1068">
        <v>220</v>
      </c>
      <c r="F1068" s="55">
        <v>0</v>
      </c>
      <c r="G1068">
        <f t="shared" si="35"/>
        <v>0</v>
      </c>
    </row>
    <row r="1069" spans="1:7">
      <c r="A1069" s="1">
        <v>45491</v>
      </c>
      <c r="B1069" t="s">
        <v>55</v>
      </c>
      <c r="C1069" t="s">
        <v>15</v>
      </c>
      <c r="D1069" t="s">
        <v>47</v>
      </c>
      <c r="E1069">
        <v>220</v>
      </c>
      <c r="F1069" s="55">
        <v>0</v>
      </c>
      <c r="G1069">
        <f t="shared" si="35"/>
        <v>0</v>
      </c>
    </row>
    <row r="1070" spans="1:7">
      <c r="A1070" s="1">
        <v>45492</v>
      </c>
      <c r="B1070" t="s">
        <v>55</v>
      </c>
      <c r="C1070" t="s">
        <v>15</v>
      </c>
      <c r="D1070" t="s">
        <v>47</v>
      </c>
      <c r="E1070">
        <v>220</v>
      </c>
      <c r="F1070" s="55">
        <v>0</v>
      </c>
      <c r="G1070">
        <f t="shared" si="35"/>
        <v>0</v>
      </c>
    </row>
    <row r="1071" spans="1:7">
      <c r="A1071" s="1">
        <v>45493</v>
      </c>
      <c r="B1071" t="s">
        <v>55</v>
      </c>
      <c r="C1071" t="s">
        <v>15</v>
      </c>
      <c r="D1071" t="s">
        <v>47</v>
      </c>
      <c r="E1071">
        <v>220</v>
      </c>
      <c r="F1071" s="55">
        <v>0</v>
      </c>
      <c r="G1071">
        <f t="shared" si="35"/>
        <v>0</v>
      </c>
    </row>
    <row r="1072" spans="1:7">
      <c r="A1072" s="1">
        <v>45494</v>
      </c>
      <c r="B1072" t="s">
        <v>55</v>
      </c>
      <c r="C1072" t="s">
        <v>15</v>
      </c>
      <c r="D1072" t="s">
        <v>47</v>
      </c>
      <c r="E1072">
        <v>220</v>
      </c>
      <c r="F1072" s="55">
        <v>0</v>
      </c>
      <c r="G1072">
        <f t="shared" si="35"/>
        <v>0</v>
      </c>
    </row>
    <row r="1073" spans="1:7">
      <c r="A1073" s="1">
        <v>45495</v>
      </c>
      <c r="B1073" t="s">
        <v>55</v>
      </c>
      <c r="C1073" t="s">
        <v>15</v>
      </c>
      <c r="D1073" t="s">
        <v>47</v>
      </c>
      <c r="E1073">
        <v>220</v>
      </c>
      <c r="F1073" s="55">
        <v>1</v>
      </c>
      <c r="G1073">
        <f t="shared" si="35"/>
        <v>220</v>
      </c>
    </row>
    <row r="1074" spans="1:7">
      <c r="A1074" s="1">
        <v>45496</v>
      </c>
      <c r="B1074" t="s">
        <v>55</v>
      </c>
      <c r="C1074" t="s">
        <v>15</v>
      </c>
      <c r="D1074" t="s">
        <v>47</v>
      </c>
      <c r="E1074">
        <v>220</v>
      </c>
      <c r="F1074" s="55">
        <v>0</v>
      </c>
      <c r="G1074">
        <f t="shared" si="35"/>
        <v>0</v>
      </c>
    </row>
    <row r="1075" spans="1:7">
      <c r="A1075" s="1">
        <v>45497</v>
      </c>
      <c r="B1075" t="s">
        <v>55</v>
      </c>
      <c r="C1075" t="s">
        <v>15</v>
      </c>
      <c r="D1075" t="s">
        <v>47</v>
      </c>
      <c r="E1075">
        <v>220</v>
      </c>
      <c r="F1075" s="55">
        <v>0</v>
      </c>
      <c r="G1075">
        <f t="shared" si="35"/>
        <v>0</v>
      </c>
    </row>
    <row r="1076" spans="1:7">
      <c r="A1076" s="1">
        <v>45498</v>
      </c>
      <c r="B1076" t="s">
        <v>55</v>
      </c>
      <c r="C1076" t="s">
        <v>15</v>
      </c>
      <c r="D1076" t="s">
        <v>47</v>
      </c>
      <c r="E1076">
        <v>220</v>
      </c>
      <c r="F1076" s="55">
        <v>0</v>
      </c>
      <c r="G1076">
        <f t="shared" si="35"/>
        <v>0</v>
      </c>
    </row>
    <row r="1077" spans="1:7">
      <c r="A1077" s="1">
        <v>45499</v>
      </c>
      <c r="B1077" t="s">
        <v>55</v>
      </c>
      <c r="C1077" t="s">
        <v>15</v>
      </c>
      <c r="D1077" t="s">
        <v>47</v>
      </c>
      <c r="E1077">
        <v>220</v>
      </c>
      <c r="F1077" s="55">
        <v>1</v>
      </c>
      <c r="G1077">
        <f t="shared" si="35"/>
        <v>220</v>
      </c>
    </row>
    <row r="1078" spans="1:7">
      <c r="A1078" s="1">
        <v>45500</v>
      </c>
      <c r="B1078" t="s">
        <v>55</v>
      </c>
      <c r="C1078" t="s">
        <v>15</v>
      </c>
      <c r="D1078" t="s">
        <v>47</v>
      </c>
      <c r="E1078">
        <v>220</v>
      </c>
      <c r="F1078" s="55">
        <v>0</v>
      </c>
      <c r="G1078">
        <f t="shared" si="35"/>
        <v>0</v>
      </c>
    </row>
    <row r="1079" spans="1:7">
      <c r="A1079" s="1">
        <v>45501</v>
      </c>
      <c r="B1079" t="s">
        <v>55</v>
      </c>
      <c r="C1079" t="s">
        <v>15</v>
      </c>
      <c r="D1079" t="s">
        <v>47</v>
      </c>
      <c r="E1079">
        <v>220</v>
      </c>
      <c r="F1079" s="55">
        <v>0</v>
      </c>
      <c r="G1079">
        <f t="shared" si="35"/>
        <v>0</v>
      </c>
    </row>
    <row r="1080" spans="1:7">
      <c r="A1080" s="1">
        <v>45502</v>
      </c>
      <c r="B1080" t="s">
        <v>55</v>
      </c>
      <c r="C1080" t="s">
        <v>15</v>
      </c>
      <c r="D1080" t="s">
        <v>47</v>
      </c>
      <c r="E1080">
        <v>220</v>
      </c>
      <c r="F1080" s="55">
        <v>0</v>
      </c>
      <c r="G1080">
        <f t="shared" si="35"/>
        <v>0</v>
      </c>
    </row>
    <row r="1081" spans="1:7">
      <c r="A1081" s="1">
        <v>45503</v>
      </c>
      <c r="B1081" t="s">
        <v>55</v>
      </c>
      <c r="C1081" t="s">
        <v>15</v>
      </c>
      <c r="D1081" t="s">
        <v>47</v>
      </c>
      <c r="E1081">
        <v>220</v>
      </c>
      <c r="F1081" s="55">
        <v>0</v>
      </c>
      <c r="G1081">
        <f t="shared" si="35"/>
        <v>0</v>
      </c>
    </row>
    <row r="1082" spans="1:7">
      <c r="A1082" s="1">
        <v>45504</v>
      </c>
      <c r="B1082" t="s">
        <v>55</v>
      </c>
      <c r="C1082" t="s">
        <v>15</v>
      </c>
      <c r="D1082" t="s">
        <v>47</v>
      </c>
      <c r="E1082">
        <v>220</v>
      </c>
      <c r="F1082" s="55">
        <v>0</v>
      </c>
      <c r="G1082">
        <f t="shared" si="35"/>
        <v>0</v>
      </c>
    </row>
    <row r="1083" spans="1:7">
      <c r="A1083" s="1">
        <v>45474</v>
      </c>
      <c r="B1083" t="s">
        <v>55</v>
      </c>
      <c r="C1083" t="s">
        <v>15</v>
      </c>
      <c r="D1083" t="s">
        <v>48</v>
      </c>
      <c r="E1083">
        <v>220</v>
      </c>
      <c r="F1083" s="55">
        <v>0</v>
      </c>
      <c r="G1083">
        <f t="shared" si="35"/>
        <v>0</v>
      </c>
    </row>
    <row r="1084" spans="1:7">
      <c r="A1084" s="1">
        <v>45475</v>
      </c>
      <c r="B1084" t="s">
        <v>55</v>
      </c>
      <c r="C1084" t="s">
        <v>15</v>
      </c>
      <c r="D1084" t="s">
        <v>48</v>
      </c>
      <c r="E1084">
        <v>220</v>
      </c>
      <c r="F1084" s="55">
        <v>0</v>
      </c>
      <c r="G1084">
        <f t="shared" si="35"/>
        <v>0</v>
      </c>
    </row>
    <row r="1085" spans="1:7">
      <c r="A1085" s="1">
        <v>45476</v>
      </c>
      <c r="B1085" t="s">
        <v>55</v>
      </c>
      <c r="C1085" t="s">
        <v>15</v>
      </c>
      <c r="D1085" t="s">
        <v>48</v>
      </c>
      <c r="E1085">
        <v>220</v>
      </c>
      <c r="F1085" s="55">
        <v>0</v>
      </c>
      <c r="G1085">
        <f t="shared" si="35"/>
        <v>0</v>
      </c>
    </row>
    <row r="1086" spans="1:7">
      <c r="A1086" s="1">
        <v>45477</v>
      </c>
      <c r="B1086" t="s">
        <v>55</v>
      </c>
      <c r="C1086" t="s">
        <v>15</v>
      </c>
      <c r="D1086" t="s">
        <v>48</v>
      </c>
      <c r="E1086">
        <v>220</v>
      </c>
      <c r="F1086" s="55">
        <v>0</v>
      </c>
      <c r="G1086">
        <f t="shared" si="35"/>
        <v>0</v>
      </c>
    </row>
    <row r="1087" spans="1:7">
      <c r="A1087" s="1">
        <v>45478</v>
      </c>
      <c r="B1087" t="s">
        <v>55</v>
      </c>
      <c r="C1087" t="s">
        <v>15</v>
      </c>
      <c r="D1087" t="s">
        <v>48</v>
      </c>
      <c r="E1087">
        <v>220</v>
      </c>
      <c r="F1087" s="55">
        <v>0</v>
      </c>
      <c r="G1087">
        <f t="shared" si="35"/>
        <v>0</v>
      </c>
    </row>
    <row r="1088" spans="1:7">
      <c r="A1088" s="1">
        <v>45479</v>
      </c>
      <c r="B1088" t="s">
        <v>55</v>
      </c>
      <c r="C1088" t="s">
        <v>15</v>
      </c>
      <c r="D1088" t="s">
        <v>48</v>
      </c>
      <c r="E1088">
        <v>220</v>
      </c>
      <c r="F1088" s="55">
        <v>0</v>
      </c>
      <c r="G1088">
        <f t="shared" si="35"/>
        <v>0</v>
      </c>
    </row>
    <row r="1089" spans="1:7">
      <c r="A1089" s="1">
        <v>45480</v>
      </c>
      <c r="B1089" t="s">
        <v>55</v>
      </c>
      <c r="C1089" t="s">
        <v>15</v>
      </c>
      <c r="D1089" t="s">
        <v>48</v>
      </c>
      <c r="E1089">
        <v>220</v>
      </c>
      <c r="F1089" s="55">
        <v>0</v>
      </c>
      <c r="G1089">
        <f t="shared" si="35"/>
        <v>0</v>
      </c>
    </row>
    <row r="1090" spans="1:7">
      <c r="A1090" s="1">
        <v>45481</v>
      </c>
      <c r="B1090" t="s">
        <v>55</v>
      </c>
      <c r="C1090" t="s">
        <v>15</v>
      </c>
      <c r="D1090" t="s">
        <v>48</v>
      </c>
      <c r="E1090">
        <v>220</v>
      </c>
      <c r="F1090" s="55">
        <v>0</v>
      </c>
      <c r="G1090">
        <f t="shared" si="35"/>
        <v>0</v>
      </c>
    </row>
    <row r="1091" spans="1:7">
      <c r="A1091" s="1">
        <v>45482</v>
      </c>
      <c r="B1091" t="s">
        <v>55</v>
      </c>
      <c r="C1091" t="s">
        <v>15</v>
      </c>
      <c r="D1091" t="s">
        <v>48</v>
      </c>
      <c r="E1091">
        <v>220</v>
      </c>
      <c r="F1091" s="55">
        <v>0</v>
      </c>
      <c r="G1091">
        <f t="shared" ref="G1091:G1143" si="36">F1091*E1091</f>
        <v>0</v>
      </c>
    </row>
    <row r="1092" spans="1:7">
      <c r="A1092" s="1">
        <v>45483</v>
      </c>
      <c r="B1092" t="s">
        <v>55</v>
      </c>
      <c r="C1092" t="s">
        <v>15</v>
      </c>
      <c r="D1092" t="s">
        <v>48</v>
      </c>
      <c r="E1092">
        <v>220</v>
      </c>
      <c r="F1092" s="55">
        <v>1</v>
      </c>
      <c r="G1092">
        <f t="shared" si="36"/>
        <v>220</v>
      </c>
    </row>
    <row r="1093" spans="1:7">
      <c r="A1093" s="1">
        <v>45484</v>
      </c>
      <c r="B1093" t="s">
        <v>55</v>
      </c>
      <c r="C1093" t="s">
        <v>15</v>
      </c>
      <c r="D1093" t="s">
        <v>48</v>
      </c>
      <c r="E1093">
        <v>220</v>
      </c>
      <c r="F1093" s="55">
        <v>0</v>
      </c>
      <c r="G1093">
        <f t="shared" si="36"/>
        <v>0</v>
      </c>
    </row>
    <row r="1094" spans="1:7">
      <c r="A1094" s="1">
        <v>45485</v>
      </c>
      <c r="B1094" t="s">
        <v>55</v>
      </c>
      <c r="C1094" t="s">
        <v>15</v>
      </c>
      <c r="D1094" t="s">
        <v>48</v>
      </c>
      <c r="E1094">
        <v>220</v>
      </c>
      <c r="F1094" s="55">
        <v>0</v>
      </c>
      <c r="G1094">
        <f t="shared" si="36"/>
        <v>0</v>
      </c>
    </row>
    <row r="1095" spans="1:7">
      <c r="A1095" s="1">
        <v>45486</v>
      </c>
      <c r="B1095" t="s">
        <v>55</v>
      </c>
      <c r="C1095" t="s">
        <v>15</v>
      </c>
      <c r="D1095" t="s">
        <v>48</v>
      </c>
      <c r="E1095">
        <v>220</v>
      </c>
      <c r="F1095" s="55">
        <v>0</v>
      </c>
      <c r="G1095">
        <f t="shared" si="36"/>
        <v>0</v>
      </c>
    </row>
    <row r="1096" spans="1:7">
      <c r="A1096" s="1">
        <v>45487</v>
      </c>
      <c r="B1096" t="s">
        <v>55</v>
      </c>
      <c r="C1096" t="s">
        <v>15</v>
      </c>
      <c r="D1096" t="s">
        <v>48</v>
      </c>
      <c r="E1096">
        <v>220</v>
      </c>
      <c r="F1096" s="55">
        <v>0</v>
      </c>
      <c r="G1096">
        <f t="shared" si="36"/>
        <v>0</v>
      </c>
    </row>
    <row r="1097" spans="1:7">
      <c r="A1097" s="1">
        <v>45488</v>
      </c>
      <c r="B1097" t="s">
        <v>55</v>
      </c>
      <c r="C1097" t="s">
        <v>15</v>
      </c>
      <c r="D1097" t="s">
        <v>48</v>
      </c>
      <c r="E1097">
        <v>220</v>
      </c>
      <c r="F1097" s="55">
        <v>0</v>
      </c>
      <c r="G1097">
        <f t="shared" si="36"/>
        <v>0</v>
      </c>
    </row>
    <row r="1098" spans="1:7">
      <c r="A1098" s="1">
        <v>45489</v>
      </c>
      <c r="B1098" t="s">
        <v>55</v>
      </c>
      <c r="C1098" t="s">
        <v>15</v>
      </c>
      <c r="D1098" t="s">
        <v>48</v>
      </c>
      <c r="E1098">
        <v>220</v>
      </c>
      <c r="F1098" s="55">
        <v>0</v>
      </c>
      <c r="G1098">
        <f t="shared" si="36"/>
        <v>0</v>
      </c>
    </row>
    <row r="1099" spans="1:7">
      <c r="A1099" s="1">
        <v>45490</v>
      </c>
      <c r="B1099" t="s">
        <v>55</v>
      </c>
      <c r="C1099" t="s">
        <v>15</v>
      </c>
      <c r="D1099" t="s">
        <v>48</v>
      </c>
      <c r="E1099">
        <v>220</v>
      </c>
      <c r="F1099" s="55">
        <v>1</v>
      </c>
      <c r="G1099">
        <f t="shared" si="36"/>
        <v>220</v>
      </c>
    </row>
    <row r="1100" spans="1:7">
      <c r="A1100" s="1">
        <v>45491</v>
      </c>
      <c r="B1100" t="s">
        <v>55</v>
      </c>
      <c r="C1100" t="s">
        <v>15</v>
      </c>
      <c r="D1100" t="s">
        <v>48</v>
      </c>
      <c r="E1100">
        <v>220</v>
      </c>
      <c r="F1100" s="55">
        <v>0</v>
      </c>
      <c r="G1100">
        <f t="shared" si="36"/>
        <v>0</v>
      </c>
    </row>
    <row r="1101" spans="1:7">
      <c r="A1101" s="1">
        <v>45492</v>
      </c>
      <c r="B1101" t="s">
        <v>55</v>
      </c>
      <c r="C1101" t="s">
        <v>15</v>
      </c>
      <c r="D1101" t="s">
        <v>48</v>
      </c>
      <c r="E1101">
        <v>220</v>
      </c>
      <c r="F1101" s="55">
        <v>0</v>
      </c>
      <c r="G1101">
        <f t="shared" si="36"/>
        <v>0</v>
      </c>
    </row>
    <row r="1102" spans="1:7">
      <c r="A1102" s="1">
        <v>45493</v>
      </c>
      <c r="B1102" t="s">
        <v>55</v>
      </c>
      <c r="C1102" t="s">
        <v>15</v>
      </c>
      <c r="D1102" t="s">
        <v>48</v>
      </c>
      <c r="E1102">
        <v>220</v>
      </c>
      <c r="F1102" s="55">
        <v>0</v>
      </c>
      <c r="G1102">
        <f t="shared" si="36"/>
        <v>0</v>
      </c>
    </row>
    <row r="1103" spans="1:7">
      <c r="A1103" s="1">
        <v>45494</v>
      </c>
      <c r="B1103" t="s">
        <v>55</v>
      </c>
      <c r="C1103" t="s">
        <v>15</v>
      </c>
      <c r="D1103" t="s">
        <v>48</v>
      </c>
      <c r="E1103">
        <v>220</v>
      </c>
      <c r="F1103" s="55">
        <v>0</v>
      </c>
      <c r="G1103">
        <f t="shared" si="36"/>
        <v>0</v>
      </c>
    </row>
    <row r="1104" spans="1:7">
      <c r="A1104" s="1">
        <v>45495</v>
      </c>
      <c r="B1104" t="s">
        <v>55</v>
      </c>
      <c r="C1104" t="s">
        <v>15</v>
      </c>
      <c r="D1104" t="s">
        <v>48</v>
      </c>
      <c r="E1104">
        <v>220</v>
      </c>
      <c r="F1104" s="55">
        <v>0</v>
      </c>
      <c r="G1104">
        <f t="shared" si="36"/>
        <v>0</v>
      </c>
    </row>
    <row r="1105" spans="1:7">
      <c r="A1105" s="1">
        <v>45496</v>
      </c>
      <c r="B1105" t="s">
        <v>55</v>
      </c>
      <c r="C1105" t="s">
        <v>15</v>
      </c>
      <c r="D1105" t="s">
        <v>48</v>
      </c>
      <c r="E1105">
        <v>220</v>
      </c>
      <c r="F1105" s="55">
        <v>1</v>
      </c>
      <c r="G1105">
        <f t="shared" si="36"/>
        <v>220</v>
      </c>
    </row>
    <row r="1106" spans="1:7">
      <c r="A1106" s="1">
        <v>45497</v>
      </c>
      <c r="B1106" t="s">
        <v>55</v>
      </c>
      <c r="C1106" t="s">
        <v>15</v>
      </c>
      <c r="D1106" t="s">
        <v>48</v>
      </c>
      <c r="E1106">
        <v>220</v>
      </c>
      <c r="F1106" s="55">
        <v>0</v>
      </c>
      <c r="G1106">
        <f t="shared" si="36"/>
        <v>0</v>
      </c>
    </row>
    <row r="1107" spans="1:7">
      <c r="A1107" s="1">
        <v>45498</v>
      </c>
      <c r="B1107" t="s">
        <v>55</v>
      </c>
      <c r="C1107" t="s">
        <v>15</v>
      </c>
      <c r="D1107" t="s">
        <v>48</v>
      </c>
      <c r="E1107">
        <v>220</v>
      </c>
      <c r="F1107" s="55">
        <v>0</v>
      </c>
      <c r="G1107">
        <f t="shared" si="36"/>
        <v>0</v>
      </c>
    </row>
    <row r="1108" spans="1:7">
      <c r="A1108" s="1">
        <v>45499</v>
      </c>
      <c r="B1108" t="s">
        <v>55</v>
      </c>
      <c r="C1108" t="s">
        <v>15</v>
      </c>
      <c r="D1108" t="s">
        <v>48</v>
      </c>
      <c r="E1108">
        <v>220</v>
      </c>
      <c r="F1108" s="55">
        <v>0</v>
      </c>
      <c r="G1108">
        <f t="shared" si="36"/>
        <v>0</v>
      </c>
    </row>
    <row r="1109" spans="1:7">
      <c r="A1109" s="1">
        <v>45500</v>
      </c>
      <c r="B1109" t="s">
        <v>55</v>
      </c>
      <c r="C1109" t="s">
        <v>15</v>
      </c>
      <c r="D1109" t="s">
        <v>48</v>
      </c>
      <c r="E1109">
        <v>220</v>
      </c>
      <c r="F1109" s="55">
        <v>0</v>
      </c>
      <c r="G1109">
        <f t="shared" si="36"/>
        <v>0</v>
      </c>
    </row>
    <row r="1110" spans="1:7">
      <c r="A1110" s="1">
        <v>45501</v>
      </c>
      <c r="B1110" t="s">
        <v>55</v>
      </c>
      <c r="C1110" t="s">
        <v>15</v>
      </c>
      <c r="D1110" t="s">
        <v>48</v>
      </c>
      <c r="E1110">
        <v>220</v>
      </c>
      <c r="F1110" s="55">
        <v>0</v>
      </c>
      <c r="G1110">
        <f t="shared" si="36"/>
        <v>0</v>
      </c>
    </row>
    <row r="1111" spans="1:7">
      <c r="A1111" s="1">
        <v>45502</v>
      </c>
      <c r="B1111" t="s">
        <v>55</v>
      </c>
      <c r="C1111" t="s">
        <v>15</v>
      </c>
      <c r="D1111" t="s">
        <v>48</v>
      </c>
      <c r="E1111">
        <v>220</v>
      </c>
      <c r="F1111" s="55">
        <v>0</v>
      </c>
      <c r="G1111">
        <f t="shared" si="36"/>
        <v>0</v>
      </c>
    </row>
    <row r="1112" spans="1:7">
      <c r="A1112" s="1">
        <v>45503</v>
      </c>
      <c r="B1112" t="s">
        <v>55</v>
      </c>
      <c r="C1112" t="s">
        <v>15</v>
      </c>
      <c r="D1112" t="s">
        <v>48</v>
      </c>
      <c r="E1112">
        <v>220</v>
      </c>
      <c r="F1112" s="55">
        <v>1</v>
      </c>
      <c r="G1112">
        <f t="shared" si="36"/>
        <v>220</v>
      </c>
    </row>
    <row r="1113" spans="1:7">
      <c r="A1113" s="1">
        <v>45504</v>
      </c>
      <c r="B1113" t="s">
        <v>55</v>
      </c>
      <c r="C1113" t="s">
        <v>15</v>
      </c>
      <c r="D1113" t="s">
        <v>48</v>
      </c>
      <c r="E1113">
        <v>220</v>
      </c>
      <c r="F1113" s="55">
        <v>0</v>
      </c>
      <c r="G1113">
        <f t="shared" si="36"/>
        <v>0</v>
      </c>
    </row>
    <row r="1114" spans="1:7">
      <c r="A1114" s="1">
        <v>45474</v>
      </c>
      <c r="B1114" t="s">
        <v>55</v>
      </c>
      <c r="C1114" t="s">
        <v>15</v>
      </c>
      <c r="D1114" t="s">
        <v>49</v>
      </c>
      <c r="E1114">
        <v>720</v>
      </c>
      <c r="F1114" s="55">
        <v>0</v>
      </c>
      <c r="G1114">
        <f t="shared" si="36"/>
        <v>0</v>
      </c>
    </row>
    <row r="1115" spans="1:7">
      <c r="A1115" s="1">
        <v>45475</v>
      </c>
      <c r="B1115" t="s">
        <v>55</v>
      </c>
      <c r="C1115" t="s">
        <v>15</v>
      </c>
      <c r="D1115" t="s">
        <v>49</v>
      </c>
      <c r="E1115">
        <v>720</v>
      </c>
      <c r="F1115" s="55">
        <v>0</v>
      </c>
      <c r="G1115">
        <f t="shared" si="36"/>
        <v>0</v>
      </c>
    </row>
    <row r="1116" spans="1:7">
      <c r="A1116" s="1">
        <v>45476</v>
      </c>
      <c r="B1116" t="s">
        <v>55</v>
      </c>
      <c r="C1116" t="s">
        <v>15</v>
      </c>
      <c r="D1116" t="s">
        <v>49</v>
      </c>
      <c r="E1116">
        <v>720</v>
      </c>
      <c r="F1116" s="55">
        <v>1</v>
      </c>
      <c r="G1116">
        <f t="shared" si="36"/>
        <v>720</v>
      </c>
    </row>
    <row r="1117" spans="1:7">
      <c r="A1117" s="1">
        <v>45477</v>
      </c>
      <c r="B1117" t="s">
        <v>55</v>
      </c>
      <c r="C1117" t="s">
        <v>15</v>
      </c>
      <c r="D1117" t="s">
        <v>49</v>
      </c>
      <c r="E1117">
        <v>720</v>
      </c>
      <c r="F1117" s="55">
        <v>1</v>
      </c>
      <c r="G1117">
        <f t="shared" si="36"/>
        <v>720</v>
      </c>
    </row>
    <row r="1118" spans="1:7">
      <c r="A1118" s="1">
        <v>45478</v>
      </c>
      <c r="B1118" t="s">
        <v>55</v>
      </c>
      <c r="C1118" t="s">
        <v>15</v>
      </c>
      <c r="D1118" t="s">
        <v>49</v>
      </c>
      <c r="E1118">
        <v>720</v>
      </c>
      <c r="F1118" s="55">
        <v>0</v>
      </c>
      <c r="G1118">
        <f t="shared" si="36"/>
        <v>0</v>
      </c>
    </row>
    <row r="1119" spans="1:7">
      <c r="A1119" s="1">
        <v>45479</v>
      </c>
      <c r="B1119" t="s">
        <v>55</v>
      </c>
      <c r="C1119" t="s">
        <v>15</v>
      </c>
      <c r="D1119" t="s">
        <v>49</v>
      </c>
      <c r="E1119">
        <v>720</v>
      </c>
      <c r="F1119" s="55">
        <v>0</v>
      </c>
      <c r="G1119">
        <f t="shared" si="36"/>
        <v>0</v>
      </c>
    </row>
    <row r="1120" spans="1:7">
      <c r="A1120" s="1">
        <v>45480</v>
      </c>
      <c r="B1120" t="s">
        <v>55</v>
      </c>
      <c r="C1120" t="s">
        <v>15</v>
      </c>
      <c r="D1120" t="s">
        <v>49</v>
      </c>
      <c r="E1120">
        <v>720</v>
      </c>
      <c r="F1120" s="55">
        <v>0</v>
      </c>
      <c r="G1120">
        <f t="shared" si="36"/>
        <v>0</v>
      </c>
    </row>
    <row r="1121" spans="1:7">
      <c r="A1121" s="1">
        <v>45481</v>
      </c>
      <c r="B1121" t="s">
        <v>55</v>
      </c>
      <c r="C1121" t="s">
        <v>15</v>
      </c>
      <c r="D1121" t="s">
        <v>49</v>
      </c>
      <c r="E1121">
        <v>720</v>
      </c>
      <c r="F1121" s="55">
        <v>1</v>
      </c>
      <c r="G1121">
        <f t="shared" si="36"/>
        <v>720</v>
      </c>
    </row>
    <row r="1122" spans="1:7">
      <c r="A1122" s="1">
        <v>45482</v>
      </c>
      <c r="B1122" t="s">
        <v>55</v>
      </c>
      <c r="C1122" t="s">
        <v>15</v>
      </c>
      <c r="D1122" t="s">
        <v>49</v>
      </c>
      <c r="E1122">
        <v>720</v>
      </c>
      <c r="F1122" s="55">
        <v>0</v>
      </c>
      <c r="G1122">
        <f t="shared" si="36"/>
        <v>0</v>
      </c>
    </row>
    <row r="1123" spans="1:7">
      <c r="A1123" s="1">
        <v>45483</v>
      </c>
      <c r="B1123" t="s">
        <v>55</v>
      </c>
      <c r="C1123" t="s">
        <v>15</v>
      </c>
      <c r="D1123" t="s">
        <v>49</v>
      </c>
      <c r="E1123">
        <v>720</v>
      </c>
      <c r="F1123" s="55">
        <v>1</v>
      </c>
      <c r="G1123">
        <f t="shared" si="36"/>
        <v>720</v>
      </c>
    </row>
    <row r="1124" spans="1:7">
      <c r="A1124" s="1">
        <v>45484</v>
      </c>
      <c r="B1124" t="s">
        <v>55</v>
      </c>
      <c r="C1124" t="s">
        <v>15</v>
      </c>
      <c r="D1124" t="s">
        <v>49</v>
      </c>
      <c r="E1124">
        <v>720</v>
      </c>
      <c r="F1124" s="55">
        <v>0</v>
      </c>
      <c r="G1124">
        <f t="shared" si="36"/>
        <v>0</v>
      </c>
    </row>
    <row r="1125" spans="1:7">
      <c r="A1125" s="1">
        <v>45485</v>
      </c>
      <c r="B1125" t="s">
        <v>55</v>
      </c>
      <c r="C1125" t="s">
        <v>15</v>
      </c>
      <c r="D1125" t="s">
        <v>49</v>
      </c>
      <c r="E1125">
        <v>720</v>
      </c>
      <c r="F1125" s="55">
        <v>0</v>
      </c>
      <c r="G1125">
        <f t="shared" si="36"/>
        <v>0</v>
      </c>
    </row>
    <row r="1126" spans="1:7">
      <c r="A1126" s="1">
        <v>45486</v>
      </c>
      <c r="B1126" t="s">
        <v>55</v>
      </c>
      <c r="C1126" t="s">
        <v>15</v>
      </c>
      <c r="D1126" t="s">
        <v>49</v>
      </c>
      <c r="E1126">
        <v>720</v>
      </c>
      <c r="F1126" s="55">
        <v>0</v>
      </c>
      <c r="G1126">
        <f t="shared" si="36"/>
        <v>0</v>
      </c>
    </row>
    <row r="1127" spans="1:7">
      <c r="A1127" s="1">
        <v>45487</v>
      </c>
      <c r="B1127" t="s">
        <v>55</v>
      </c>
      <c r="C1127" t="s">
        <v>15</v>
      </c>
      <c r="D1127" t="s">
        <v>49</v>
      </c>
      <c r="E1127">
        <v>720</v>
      </c>
      <c r="F1127" s="55">
        <v>0</v>
      </c>
      <c r="G1127">
        <f t="shared" si="36"/>
        <v>0</v>
      </c>
    </row>
    <row r="1128" spans="1:7">
      <c r="A1128" s="1">
        <v>45488</v>
      </c>
      <c r="B1128" t="s">
        <v>55</v>
      </c>
      <c r="C1128" t="s">
        <v>15</v>
      </c>
      <c r="D1128" t="s">
        <v>49</v>
      </c>
      <c r="E1128">
        <v>720</v>
      </c>
      <c r="F1128" s="55">
        <v>1</v>
      </c>
      <c r="G1128">
        <f t="shared" si="36"/>
        <v>720</v>
      </c>
    </row>
    <row r="1129" spans="1:7">
      <c r="A1129" s="1">
        <v>45489</v>
      </c>
      <c r="B1129" t="s">
        <v>55</v>
      </c>
      <c r="C1129" t="s">
        <v>15</v>
      </c>
      <c r="D1129" t="s">
        <v>49</v>
      </c>
      <c r="E1129">
        <v>720</v>
      </c>
      <c r="F1129" s="55">
        <v>0</v>
      </c>
      <c r="G1129">
        <f t="shared" si="36"/>
        <v>0</v>
      </c>
    </row>
    <row r="1130" spans="1:7">
      <c r="A1130" s="1">
        <v>45490</v>
      </c>
      <c r="B1130" t="s">
        <v>55</v>
      </c>
      <c r="C1130" t="s">
        <v>15</v>
      </c>
      <c r="D1130" t="s">
        <v>49</v>
      </c>
      <c r="E1130">
        <v>720</v>
      </c>
      <c r="F1130" s="55">
        <v>1</v>
      </c>
      <c r="G1130">
        <f t="shared" si="36"/>
        <v>720</v>
      </c>
    </row>
    <row r="1131" spans="1:7">
      <c r="A1131" s="1">
        <v>45491</v>
      </c>
      <c r="B1131" t="s">
        <v>55</v>
      </c>
      <c r="C1131" t="s">
        <v>15</v>
      </c>
      <c r="D1131" t="s">
        <v>49</v>
      </c>
      <c r="E1131">
        <v>720</v>
      </c>
      <c r="F1131" s="55">
        <v>0</v>
      </c>
      <c r="G1131">
        <f t="shared" si="36"/>
        <v>0</v>
      </c>
    </row>
    <row r="1132" spans="1:7">
      <c r="A1132" s="1">
        <v>45492</v>
      </c>
      <c r="B1132" t="s">
        <v>55</v>
      </c>
      <c r="C1132" t="s">
        <v>15</v>
      </c>
      <c r="D1132" t="s">
        <v>49</v>
      </c>
      <c r="E1132">
        <v>720</v>
      </c>
      <c r="F1132" s="55">
        <v>1</v>
      </c>
      <c r="G1132">
        <f t="shared" si="36"/>
        <v>720</v>
      </c>
    </row>
    <row r="1133" spans="1:7">
      <c r="A1133" s="1">
        <v>45493</v>
      </c>
      <c r="B1133" t="s">
        <v>55</v>
      </c>
      <c r="C1133" t="s">
        <v>15</v>
      </c>
      <c r="D1133" t="s">
        <v>49</v>
      </c>
      <c r="E1133">
        <v>720</v>
      </c>
      <c r="F1133" s="55">
        <v>0</v>
      </c>
      <c r="G1133">
        <f t="shared" si="36"/>
        <v>0</v>
      </c>
    </row>
    <row r="1134" spans="1:7">
      <c r="A1134" s="1">
        <v>45494</v>
      </c>
      <c r="B1134" t="s">
        <v>55</v>
      </c>
      <c r="C1134" t="s">
        <v>15</v>
      </c>
      <c r="D1134" t="s">
        <v>49</v>
      </c>
      <c r="E1134">
        <v>720</v>
      </c>
      <c r="F1134" s="55">
        <v>0</v>
      </c>
      <c r="G1134">
        <f t="shared" si="36"/>
        <v>0</v>
      </c>
    </row>
    <row r="1135" spans="1:7">
      <c r="A1135" s="1">
        <v>45495</v>
      </c>
      <c r="B1135" t="s">
        <v>55</v>
      </c>
      <c r="C1135" t="s">
        <v>15</v>
      </c>
      <c r="D1135" t="s">
        <v>49</v>
      </c>
      <c r="E1135">
        <v>720</v>
      </c>
      <c r="F1135" s="55">
        <v>1</v>
      </c>
      <c r="G1135">
        <f t="shared" si="36"/>
        <v>720</v>
      </c>
    </row>
    <row r="1136" spans="1:7">
      <c r="A1136" s="1">
        <v>45496</v>
      </c>
      <c r="B1136" t="s">
        <v>55</v>
      </c>
      <c r="C1136" t="s">
        <v>15</v>
      </c>
      <c r="D1136" t="s">
        <v>49</v>
      </c>
      <c r="E1136">
        <v>720</v>
      </c>
      <c r="F1136" s="55">
        <v>1</v>
      </c>
      <c r="G1136">
        <f t="shared" si="36"/>
        <v>720</v>
      </c>
    </row>
    <row r="1137" spans="1:7">
      <c r="A1137" s="1">
        <v>45497</v>
      </c>
      <c r="B1137" t="s">
        <v>55</v>
      </c>
      <c r="C1137" t="s">
        <v>15</v>
      </c>
      <c r="D1137" t="s">
        <v>49</v>
      </c>
      <c r="E1137">
        <v>720</v>
      </c>
      <c r="F1137" s="55">
        <v>0</v>
      </c>
      <c r="G1137">
        <f t="shared" si="36"/>
        <v>0</v>
      </c>
    </row>
    <row r="1138" spans="1:7">
      <c r="A1138" s="1">
        <v>45498</v>
      </c>
      <c r="B1138" t="s">
        <v>55</v>
      </c>
      <c r="C1138" t="s">
        <v>15</v>
      </c>
      <c r="D1138" t="s">
        <v>49</v>
      </c>
      <c r="E1138">
        <v>720</v>
      </c>
      <c r="F1138" s="55">
        <v>0</v>
      </c>
      <c r="G1138">
        <f t="shared" si="36"/>
        <v>0</v>
      </c>
    </row>
    <row r="1139" spans="1:7">
      <c r="A1139" s="1">
        <v>45499</v>
      </c>
      <c r="B1139" t="s">
        <v>55</v>
      </c>
      <c r="C1139" t="s">
        <v>15</v>
      </c>
      <c r="D1139" t="s">
        <v>49</v>
      </c>
      <c r="E1139">
        <v>720</v>
      </c>
      <c r="F1139" s="55">
        <v>0</v>
      </c>
      <c r="G1139">
        <f t="shared" si="36"/>
        <v>0</v>
      </c>
    </row>
    <row r="1140" spans="1:7">
      <c r="A1140" s="1">
        <v>45500</v>
      </c>
      <c r="B1140" t="s">
        <v>55</v>
      </c>
      <c r="C1140" t="s">
        <v>15</v>
      </c>
      <c r="D1140" t="s">
        <v>49</v>
      </c>
      <c r="E1140">
        <v>720</v>
      </c>
      <c r="F1140" s="55">
        <v>0</v>
      </c>
      <c r="G1140">
        <f t="shared" si="36"/>
        <v>0</v>
      </c>
    </row>
    <row r="1141" spans="1:7">
      <c r="A1141" s="1">
        <v>45501</v>
      </c>
      <c r="B1141" t="s">
        <v>55</v>
      </c>
      <c r="C1141" t="s">
        <v>15</v>
      </c>
      <c r="D1141" t="s">
        <v>49</v>
      </c>
      <c r="E1141">
        <v>720</v>
      </c>
      <c r="F1141" s="55">
        <v>0</v>
      </c>
      <c r="G1141">
        <f t="shared" si="36"/>
        <v>0</v>
      </c>
    </row>
    <row r="1142" spans="1:7">
      <c r="A1142" s="1">
        <v>45502</v>
      </c>
      <c r="B1142" t="s">
        <v>55</v>
      </c>
      <c r="C1142" t="s">
        <v>15</v>
      </c>
      <c r="D1142" t="s">
        <v>49</v>
      </c>
      <c r="E1142">
        <v>720</v>
      </c>
      <c r="F1142" s="55">
        <v>1</v>
      </c>
      <c r="G1142">
        <f t="shared" si="36"/>
        <v>720</v>
      </c>
    </row>
    <row r="1143" spans="1:7">
      <c r="A1143" s="1">
        <v>45503</v>
      </c>
      <c r="B1143" t="s">
        <v>55</v>
      </c>
      <c r="C1143" t="s">
        <v>15</v>
      </c>
      <c r="D1143" t="s">
        <v>49</v>
      </c>
      <c r="E1143">
        <v>720</v>
      </c>
      <c r="F1143" s="55">
        <v>0</v>
      </c>
      <c r="G1143">
        <f t="shared" si="36"/>
        <v>0</v>
      </c>
    </row>
    <row r="1144" spans="1:7">
      <c r="A1144" s="1">
        <v>45504</v>
      </c>
      <c r="B1144" t="s">
        <v>55</v>
      </c>
      <c r="C1144" t="s">
        <v>15</v>
      </c>
      <c r="D1144" t="s">
        <v>49</v>
      </c>
      <c r="E1144">
        <v>720</v>
      </c>
      <c r="F1144" s="55">
        <v>0</v>
      </c>
      <c r="G1144">
        <f>F1144*E1144</f>
        <v>0</v>
      </c>
    </row>
    <row r="1145" spans="1:7">
      <c r="A1145" s="1">
        <v>45474</v>
      </c>
      <c r="B1145" t="s">
        <v>56</v>
      </c>
      <c r="C1145" t="s">
        <v>40</v>
      </c>
      <c r="D1145" t="s">
        <v>41</v>
      </c>
      <c r="E1145">
        <v>160</v>
      </c>
      <c r="F1145">
        <v>0</v>
      </c>
      <c r="G1145">
        <f t="shared" ref="G1145:G1206" si="37">F1145*E1145</f>
        <v>0</v>
      </c>
    </row>
    <row r="1146" spans="1:7">
      <c r="A1146" s="1">
        <v>45475</v>
      </c>
      <c r="B1146" t="s">
        <v>56</v>
      </c>
      <c r="C1146" t="s">
        <v>40</v>
      </c>
      <c r="D1146" t="s">
        <v>41</v>
      </c>
      <c r="E1146">
        <v>160</v>
      </c>
      <c r="F1146">
        <v>0</v>
      </c>
      <c r="G1146">
        <f t="shared" si="37"/>
        <v>0</v>
      </c>
    </row>
    <row r="1147" spans="1:7">
      <c r="A1147" s="1">
        <v>45476</v>
      </c>
      <c r="B1147" t="s">
        <v>56</v>
      </c>
      <c r="C1147" t="s">
        <v>40</v>
      </c>
      <c r="D1147" t="s">
        <v>41</v>
      </c>
      <c r="E1147">
        <v>160</v>
      </c>
      <c r="F1147">
        <v>2</v>
      </c>
      <c r="G1147">
        <f t="shared" si="37"/>
        <v>320</v>
      </c>
    </row>
    <row r="1148" spans="1:7">
      <c r="A1148" s="1">
        <v>45477</v>
      </c>
      <c r="B1148" t="s">
        <v>56</v>
      </c>
      <c r="C1148" t="s">
        <v>40</v>
      </c>
      <c r="D1148" t="s">
        <v>41</v>
      </c>
      <c r="E1148">
        <v>160</v>
      </c>
      <c r="F1148">
        <v>0</v>
      </c>
      <c r="G1148">
        <f t="shared" si="37"/>
        <v>0</v>
      </c>
    </row>
    <row r="1149" spans="1:7">
      <c r="A1149" s="1">
        <v>45478</v>
      </c>
      <c r="B1149" t="s">
        <v>56</v>
      </c>
      <c r="C1149" t="s">
        <v>40</v>
      </c>
      <c r="D1149" t="s">
        <v>41</v>
      </c>
      <c r="E1149">
        <v>160</v>
      </c>
      <c r="F1149">
        <v>1</v>
      </c>
      <c r="G1149">
        <f t="shared" si="37"/>
        <v>160</v>
      </c>
    </row>
    <row r="1150" spans="1:7">
      <c r="A1150" s="1">
        <v>45479</v>
      </c>
      <c r="B1150" t="s">
        <v>56</v>
      </c>
      <c r="C1150" t="s">
        <v>40</v>
      </c>
      <c r="D1150" t="s">
        <v>41</v>
      </c>
      <c r="E1150">
        <v>160</v>
      </c>
      <c r="F1150">
        <v>0</v>
      </c>
      <c r="G1150">
        <f t="shared" si="37"/>
        <v>0</v>
      </c>
    </row>
    <row r="1151" spans="1:7">
      <c r="A1151" s="1">
        <v>45480</v>
      </c>
      <c r="B1151" t="s">
        <v>56</v>
      </c>
      <c r="C1151" t="s">
        <v>40</v>
      </c>
      <c r="D1151" t="s">
        <v>41</v>
      </c>
      <c r="E1151">
        <v>160</v>
      </c>
      <c r="F1151">
        <v>0</v>
      </c>
      <c r="G1151">
        <f t="shared" si="37"/>
        <v>0</v>
      </c>
    </row>
    <row r="1152" spans="1:7">
      <c r="A1152" s="1">
        <v>45481</v>
      </c>
      <c r="B1152" t="s">
        <v>56</v>
      </c>
      <c r="C1152" t="s">
        <v>40</v>
      </c>
      <c r="D1152" t="s">
        <v>41</v>
      </c>
      <c r="E1152">
        <v>160</v>
      </c>
      <c r="F1152">
        <v>2</v>
      </c>
      <c r="G1152">
        <f t="shared" si="37"/>
        <v>320</v>
      </c>
    </row>
    <row r="1153" spans="1:7">
      <c r="A1153" s="1">
        <v>45482</v>
      </c>
      <c r="B1153" t="s">
        <v>56</v>
      </c>
      <c r="C1153" t="s">
        <v>40</v>
      </c>
      <c r="D1153" t="s">
        <v>41</v>
      </c>
      <c r="E1153">
        <v>160</v>
      </c>
      <c r="F1153">
        <v>0</v>
      </c>
      <c r="G1153">
        <f t="shared" si="37"/>
        <v>0</v>
      </c>
    </row>
    <row r="1154" spans="1:7">
      <c r="A1154" s="1">
        <v>45483</v>
      </c>
      <c r="B1154" t="s">
        <v>56</v>
      </c>
      <c r="C1154" t="s">
        <v>40</v>
      </c>
      <c r="D1154" t="s">
        <v>41</v>
      </c>
      <c r="E1154">
        <v>160</v>
      </c>
      <c r="F1154">
        <v>0</v>
      </c>
      <c r="G1154">
        <f t="shared" si="37"/>
        <v>0</v>
      </c>
    </row>
    <row r="1155" spans="1:7">
      <c r="A1155" s="1">
        <v>45484</v>
      </c>
      <c r="B1155" t="s">
        <v>56</v>
      </c>
      <c r="C1155" t="s">
        <v>40</v>
      </c>
      <c r="D1155" t="s">
        <v>41</v>
      </c>
      <c r="E1155">
        <v>160</v>
      </c>
      <c r="F1155">
        <v>0</v>
      </c>
      <c r="G1155">
        <f t="shared" si="37"/>
        <v>0</v>
      </c>
    </row>
    <row r="1156" spans="1:7">
      <c r="A1156" s="1">
        <v>45485</v>
      </c>
      <c r="B1156" t="s">
        <v>56</v>
      </c>
      <c r="C1156" t="s">
        <v>40</v>
      </c>
      <c r="D1156" t="s">
        <v>41</v>
      </c>
      <c r="E1156">
        <v>160</v>
      </c>
      <c r="F1156">
        <v>0</v>
      </c>
      <c r="G1156">
        <f t="shared" si="37"/>
        <v>0</v>
      </c>
    </row>
    <row r="1157" spans="1:7">
      <c r="A1157" s="1">
        <v>45486</v>
      </c>
      <c r="B1157" t="s">
        <v>56</v>
      </c>
      <c r="C1157" t="s">
        <v>40</v>
      </c>
      <c r="D1157" t="s">
        <v>41</v>
      </c>
      <c r="E1157">
        <v>160</v>
      </c>
      <c r="F1157">
        <v>0</v>
      </c>
      <c r="G1157">
        <f t="shared" si="37"/>
        <v>0</v>
      </c>
    </row>
    <row r="1158" spans="1:7">
      <c r="A1158" s="1">
        <v>45487</v>
      </c>
      <c r="B1158" t="s">
        <v>56</v>
      </c>
      <c r="C1158" t="s">
        <v>40</v>
      </c>
      <c r="D1158" t="s">
        <v>41</v>
      </c>
      <c r="E1158">
        <v>160</v>
      </c>
      <c r="F1158">
        <v>0</v>
      </c>
      <c r="G1158">
        <f t="shared" si="37"/>
        <v>0</v>
      </c>
    </row>
    <row r="1159" spans="1:7">
      <c r="A1159" s="1">
        <v>45488</v>
      </c>
      <c r="B1159" t="s">
        <v>56</v>
      </c>
      <c r="C1159" t="s">
        <v>40</v>
      </c>
      <c r="D1159" t="s">
        <v>41</v>
      </c>
      <c r="E1159">
        <v>160</v>
      </c>
      <c r="F1159">
        <v>0</v>
      </c>
      <c r="G1159">
        <f t="shared" si="37"/>
        <v>0</v>
      </c>
    </row>
    <row r="1160" spans="1:7">
      <c r="A1160" s="1">
        <v>45489</v>
      </c>
      <c r="B1160" t="s">
        <v>56</v>
      </c>
      <c r="C1160" t="s">
        <v>40</v>
      </c>
      <c r="D1160" t="s">
        <v>41</v>
      </c>
      <c r="E1160">
        <v>160</v>
      </c>
      <c r="F1160">
        <v>0</v>
      </c>
      <c r="G1160">
        <f t="shared" si="37"/>
        <v>0</v>
      </c>
    </row>
    <row r="1161" spans="1:7">
      <c r="A1161" s="1">
        <v>45490</v>
      </c>
      <c r="B1161" t="s">
        <v>56</v>
      </c>
      <c r="C1161" t="s">
        <v>40</v>
      </c>
      <c r="D1161" t="s">
        <v>41</v>
      </c>
      <c r="E1161">
        <v>160</v>
      </c>
      <c r="F1161">
        <v>0</v>
      </c>
      <c r="G1161">
        <f t="shared" si="37"/>
        <v>0</v>
      </c>
    </row>
    <row r="1162" spans="1:7">
      <c r="A1162" s="1">
        <v>45491</v>
      </c>
      <c r="B1162" t="s">
        <v>56</v>
      </c>
      <c r="C1162" t="s">
        <v>40</v>
      </c>
      <c r="D1162" t="s">
        <v>41</v>
      </c>
      <c r="E1162">
        <v>160</v>
      </c>
      <c r="F1162">
        <v>0</v>
      </c>
      <c r="G1162">
        <f t="shared" si="37"/>
        <v>0</v>
      </c>
    </row>
    <row r="1163" spans="1:7">
      <c r="A1163" s="1">
        <v>45492</v>
      </c>
      <c r="B1163" t="s">
        <v>56</v>
      </c>
      <c r="C1163" t="s">
        <v>40</v>
      </c>
      <c r="D1163" t="s">
        <v>41</v>
      </c>
      <c r="E1163">
        <v>160</v>
      </c>
      <c r="F1163">
        <v>0</v>
      </c>
      <c r="G1163">
        <f t="shared" si="37"/>
        <v>0</v>
      </c>
    </row>
    <row r="1164" spans="1:7">
      <c r="A1164" s="1">
        <v>45493</v>
      </c>
      <c r="B1164" t="s">
        <v>56</v>
      </c>
      <c r="C1164" t="s">
        <v>40</v>
      </c>
      <c r="D1164" t="s">
        <v>41</v>
      </c>
      <c r="E1164">
        <v>160</v>
      </c>
      <c r="F1164">
        <v>0</v>
      </c>
      <c r="G1164">
        <f t="shared" si="37"/>
        <v>0</v>
      </c>
    </row>
    <row r="1165" spans="1:7">
      <c r="A1165" s="1">
        <v>45494</v>
      </c>
      <c r="B1165" t="s">
        <v>56</v>
      </c>
      <c r="C1165" t="s">
        <v>40</v>
      </c>
      <c r="D1165" t="s">
        <v>41</v>
      </c>
      <c r="E1165">
        <v>160</v>
      </c>
      <c r="F1165">
        <v>0</v>
      </c>
      <c r="G1165">
        <f t="shared" si="37"/>
        <v>0</v>
      </c>
    </row>
    <row r="1166" spans="1:7">
      <c r="A1166" s="1">
        <v>45495</v>
      </c>
      <c r="B1166" t="s">
        <v>56</v>
      </c>
      <c r="C1166" t="s">
        <v>40</v>
      </c>
      <c r="D1166" t="s">
        <v>41</v>
      </c>
      <c r="E1166">
        <v>160</v>
      </c>
      <c r="F1166">
        <v>0</v>
      </c>
      <c r="G1166">
        <f t="shared" si="37"/>
        <v>0</v>
      </c>
    </row>
    <row r="1167" spans="1:7">
      <c r="A1167" s="1">
        <v>45496</v>
      </c>
      <c r="B1167" t="s">
        <v>56</v>
      </c>
      <c r="C1167" t="s">
        <v>40</v>
      </c>
      <c r="D1167" t="s">
        <v>41</v>
      </c>
      <c r="E1167">
        <v>160</v>
      </c>
      <c r="F1167">
        <v>5</v>
      </c>
      <c r="G1167">
        <f t="shared" si="37"/>
        <v>800</v>
      </c>
    </row>
    <row r="1168" spans="1:7">
      <c r="A1168" s="1">
        <v>45497</v>
      </c>
      <c r="B1168" t="s">
        <v>56</v>
      </c>
      <c r="C1168" t="s">
        <v>40</v>
      </c>
      <c r="D1168" t="s">
        <v>41</v>
      </c>
      <c r="E1168">
        <v>160</v>
      </c>
      <c r="F1168">
        <v>1</v>
      </c>
      <c r="G1168">
        <f t="shared" si="37"/>
        <v>160</v>
      </c>
    </row>
    <row r="1169" spans="1:7">
      <c r="A1169" s="1">
        <v>45498</v>
      </c>
      <c r="B1169" t="s">
        <v>56</v>
      </c>
      <c r="C1169" t="s">
        <v>40</v>
      </c>
      <c r="D1169" t="s">
        <v>41</v>
      </c>
      <c r="E1169">
        <v>160</v>
      </c>
      <c r="F1169">
        <v>5</v>
      </c>
      <c r="G1169">
        <f t="shared" si="37"/>
        <v>800</v>
      </c>
    </row>
    <row r="1170" spans="1:7">
      <c r="A1170" s="1">
        <v>45499</v>
      </c>
      <c r="B1170" t="s">
        <v>56</v>
      </c>
      <c r="C1170" t="s">
        <v>40</v>
      </c>
      <c r="D1170" t="s">
        <v>41</v>
      </c>
      <c r="E1170">
        <v>160</v>
      </c>
      <c r="F1170">
        <v>4</v>
      </c>
      <c r="G1170">
        <f t="shared" si="37"/>
        <v>640</v>
      </c>
    </row>
    <row r="1171" spans="1:7">
      <c r="A1171" s="1">
        <v>45500</v>
      </c>
      <c r="B1171" t="s">
        <v>56</v>
      </c>
      <c r="C1171" t="s">
        <v>40</v>
      </c>
      <c r="D1171" t="s">
        <v>41</v>
      </c>
      <c r="E1171">
        <v>160</v>
      </c>
      <c r="F1171">
        <v>0</v>
      </c>
      <c r="G1171">
        <f t="shared" si="37"/>
        <v>0</v>
      </c>
    </row>
    <row r="1172" spans="1:7">
      <c r="A1172" s="1">
        <v>45501</v>
      </c>
      <c r="B1172" t="s">
        <v>56</v>
      </c>
      <c r="C1172" t="s">
        <v>40</v>
      </c>
      <c r="D1172" t="s">
        <v>41</v>
      </c>
      <c r="E1172">
        <v>160</v>
      </c>
      <c r="F1172">
        <v>0</v>
      </c>
      <c r="G1172">
        <f t="shared" si="37"/>
        <v>0</v>
      </c>
    </row>
    <row r="1173" spans="1:7">
      <c r="A1173" s="1">
        <v>45502</v>
      </c>
      <c r="B1173" t="s">
        <v>56</v>
      </c>
      <c r="C1173" t="s">
        <v>40</v>
      </c>
      <c r="D1173" t="s">
        <v>41</v>
      </c>
      <c r="E1173">
        <v>160</v>
      </c>
      <c r="F1173">
        <v>3</v>
      </c>
      <c r="G1173">
        <f t="shared" si="37"/>
        <v>480</v>
      </c>
    </row>
    <row r="1174" spans="1:7">
      <c r="A1174" s="1">
        <v>45503</v>
      </c>
      <c r="B1174" t="s">
        <v>56</v>
      </c>
      <c r="C1174" t="s">
        <v>40</v>
      </c>
      <c r="D1174" t="s">
        <v>41</v>
      </c>
      <c r="E1174">
        <v>160</v>
      </c>
      <c r="F1174">
        <v>3</v>
      </c>
      <c r="G1174">
        <f t="shared" si="37"/>
        <v>480</v>
      </c>
    </row>
    <row r="1175" spans="1:7">
      <c r="A1175" s="1">
        <v>45504</v>
      </c>
      <c r="B1175" t="s">
        <v>56</v>
      </c>
      <c r="C1175" t="s">
        <v>40</v>
      </c>
      <c r="D1175" t="s">
        <v>41</v>
      </c>
      <c r="E1175">
        <v>160</v>
      </c>
      <c r="F1175">
        <v>2</v>
      </c>
      <c r="G1175">
        <f t="shared" si="37"/>
        <v>320</v>
      </c>
    </row>
    <row r="1176" spans="1:7">
      <c r="A1176" s="1">
        <v>45474</v>
      </c>
      <c r="B1176" t="s">
        <v>56</v>
      </c>
      <c r="C1176" t="s">
        <v>40</v>
      </c>
      <c r="D1176" t="s">
        <v>42</v>
      </c>
      <c r="E1176">
        <v>160</v>
      </c>
      <c r="F1176">
        <v>3</v>
      </c>
      <c r="G1176">
        <f t="shared" si="37"/>
        <v>480</v>
      </c>
    </row>
    <row r="1177" spans="1:7">
      <c r="A1177" s="1">
        <v>45475</v>
      </c>
      <c r="B1177" t="s">
        <v>56</v>
      </c>
      <c r="C1177" t="s">
        <v>40</v>
      </c>
      <c r="D1177" t="s">
        <v>42</v>
      </c>
      <c r="E1177">
        <v>160</v>
      </c>
      <c r="F1177">
        <v>0</v>
      </c>
      <c r="G1177">
        <f t="shared" si="37"/>
        <v>0</v>
      </c>
    </row>
    <row r="1178" spans="1:7">
      <c r="A1178" s="1">
        <v>45476</v>
      </c>
      <c r="B1178" t="s">
        <v>56</v>
      </c>
      <c r="C1178" t="s">
        <v>40</v>
      </c>
      <c r="D1178" t="s">
        <v>42</v>
      </c>
      <c r="E1178">
        <v>160</v>
      </c>
      <c r="F1178">
        <v>4</v>
      </c>
      <c r="G1178">
        <f t="shared" si="37"/>
        <v>640</v>
      </c>
    </row>
    <row r="1179" spans="1:7">
      <c r="A1179" s="1">
        <v>45477</v>
      </c>
      <c r="B1179" t="s">
        <v>56</v>
      </c>
      <c r="C1179" t="s">
        <v>40</v>
      </c>
      <c r="D1179" t="s">
        <v>42</v>
      </c>
      <c r="E1179">
        <v>160</v>
      </c>
      <c r="F1179">
        <v>1</v>
      </c>
      <c r="G1179">
        <f t="shared" si="37"/>
        <v>160</v>
      </c>
    </row>
    <row r="1180" spans="1:7">
      <c r="A1180" s="1">
        <v>45478</v>
      </c>
      <c r="B1180" t="s">
        <v>56</v>
      </c>
      <c r="C1180" t="s">
        <v>40</v>
      </c>
      <c r="D1180" t="s">
        <v>42</v>
      </c>
      <c r="E1180">
        <v>160</v>
      </c>
      <c r="F1180">
        <v>2</v>
      </c>
      <c r="G1180">
        <f t="shared" si="37"/>
        <v>320</v>
      </c>
    </row>
    <row r="1181" spans="1:7">
      <c r="A1181" s="1">
        <v>45479</v>
      </c>
      <c r="B1181" t="s">
        <v>56</v>
      </c>
      <c r="C1181" t="s">
        <v>40</v>
      </c>
      <c r="D1181" t="s">
        <v>42</v>
      </c>
      <c r="E1181">
        <v>160</v>
      </c>
      <c r="F1181">
        <v>0</v>
      </c>
      <c r="G1181">
        <f t="shared" si="37"/>
        <v>0</v>
      </c>
    </row>
    <row r="1182" spans="1:7">
      <c r="A1182" s="1">
        <v>45480</v>
      </c>
      <c r="B1182" t="s">
        <v>56</v>
      </c>
      <c r="C1182" t="s">
        <v>40</v>
      </c>
      <c r="D1182" t="s">
        <v>42</v>
      </c>
      <c r="E1182">
        <v>160</v>
      </c>
      <c r="F1182">
        <v>0</v>
      </c>
      <c r="G1182">
        <f t="shared" si="37"/>
        <v>0</v>
      </c>
    </row>
    <row r="1183" spans="1:7">
      <c r="A1183" s="1">
        <v>45481</v>
      </c>
      <c r="B1183" t="s">
        <v>56</v>
      </c>
      <c r="C1183" t="s">
        <v>40</v>
      </c>
      <c r="D1183" t="s">
        <v>42</v>
      </c>
      <c r="E1183">
        <v>160</v>
      </c>
      <c r="F1183">
        <v>4</v>
      </c>
      <c r="G1183">
        <f t="shared" si="37"/>
        <v>640</v>
      </c>
    </row>
    <row r="1184" spans="1:7">
      <c r="A1184" s="1">
        <v>45482</v>
      </c>
      <c r="B1184" t="s">
        <v>56</v>
      </c>
      <c r="C1184" t="s">
        <v>40</v>
      </c>
      <c r="D1184" t="s">
        <v>42</v>
      </c>
      <c r="E1184">
        <v>160</v>
      </c>
      <c r="F1184">
        <v>0</v>
      </c>
      <c r="G1184">
        <f t="shared" si="37"/>
        <v>0</v>
      </c>
    </row>
    <row r="1185" spans="1:7">
      <c r="A1185" s="1">
        <v>45483</v>
      </c>
      <c r="B1185" t="s">
        <v>56</v>
      </c>
      <c r="C1185" t="s">
        <v>40</v>
      </c>
      <c r="D1185" t="s">
        <v>42</v>
      </c>
      <c r="E1185">
        <v>160</v>
      </c>
      <c r="F1185">
        <v>0</v>
      </c>
      <c r="G1185">
        <f t="shared" si="37"/>
        <v>0</v>
      </c>
    </row>
    <row r="1186" spans="1:7">
      <c r="A1186" s="1">
        <v>45484</v>
      </c>
      <c r="B1186" t="s">
        <v>56</v>
      </c>
      <c r="C1186" t="s">
        <v>40</v>
      </c>
      <c r="D1186" t="s">
        <v>42</v>
      </c>
      <c r="E1186">
        <v>160</v>
      </c>
      <c r="F1186">
        <v>0</v>
      </c>
      <c r="G1186">
        <f t="shared" si="37"/>
        <v>0</v>
      </c>
    </row>
    <row r="1187" spans="1:7">
      <c r="A1187" s="1">
        <v>45485</v>
      </c>
      <c r="B1187" t="s">
        <v>56</v>
      </c>
      <c r="C1187" t="s">
        <v>40</v>
      </c>
      <c r="D1187" t="s">
        <v>42</v>
      </c>
      <c r="E1187">
        <v>160</v>
      </c>
      <c r="F1187">
        <v>0</v>
      </c>
      <c r="G1187">
        <f t="shared" si="37"/>
        <v>0</v>
      </c>
    </row>
    <row r="1188" spans="1:7">
      <c r="A1188" s="1">
        <v>45486</v>
      </c>
      <c r="B1188" t="s">
        <v>56</v>
      </c>
      <c r="C1188" t="s">
        <v>40</v>
      </c>
      <c r="D1188" t="s">
        <v>42</v>
      </c>
      <c r="E1188">
        <v>160</v>
      </c>
      <c r="F1188">
        <v>0</v>
      </c>
      <c r="G1188">
        <f t="shared" si="37"/>
        <v>0</v>
      </c>
    </row>
    <row r="1189" spans="1:7">
      <c r="A1189" s="1">
        <v>45487</v>
      </c>
      <c r="B1189" t="s">
        <v>56</v>
      </c>
      <c r="C1189" t="s">
        <v>40</v>
      </c>
      <c r="D1189" t="s">
        <v>42</v>
      </c>
      <c r="E1189">
        <v>160</v>
      </c>
      <c r="F1189">
        <v>0</v>
      </c>
      <c r="G1189">
        <f t="shared" si="37"/>
        <v>0</v>
      </c>
    </row>
    <row r="1190" spans="1:7">
      <c r="A1190" s="1">
        <v>45488</v>
      </c>
      <c r="B1190" t="s">
        <v>56</v>
      </c>
      <c r="C1190" t="s">
        <v>40</v>
      </c>
      <c r="D1190" t="s">
        <v>42</v>
      </c>
      <c r="E1190">
        <v>160</v>
      </c>
      <c r="F1190">
        <v>0</v>
      </c>
      <c r="G1190">
        <f t="shared" si="37"/>
        <v>0</v>
      </c>
    </row>
    <row r="1191" spans="1:7">
      <c r="A1191" s="1">
        <v>45489</v>
      </c>
      <c r="B1191" t="s">
        <v>56</v>
      </c>
      <c r="C1191" t="s">
        <v>40</v>
      </c>
      <c r="D1191" t="s">
        <v>42</v>
      </c>
      <c r="E1191">
        <v>160</v>
      </c>
      <c r="F1191">
        <v>0</v>
      </c>
      <c r="G1191">
        <f t="shared" si="37"/>
        <v>0</v>
      </c>
    </row>
    <row r="1192" spans="1:7">
      <c r="A1192" s="1">
        <v>45490</v>
      </c>
      <c r="B1192" t="s">
        <v>56</v>
      </c>
      <c r="C1192" t="s">
        <v>40</v>
      </c>
      <c r="D1192" t="s">
        <v>42</v>
      </c>
      <c r="E1192">
        <v>160</v>
      </c>
      <c r="F1192">
        <v>0</v>
      </c>
      <c r="G1192">
        <f t="shared" si="37"/>
        <v>0</v>
      </c>
    </row>
    <row r="1193" spans="1:7">
      <c r="A1193" s="1">
        <v>45491</v>
      </c>
      <c r="B1193" t="s">
        <v>56</v>
      </c>
      <c r="C1193" t="s">
        <v>40</v>
      </c>
      <c r="D1193" t="s">
        <v>42</v>
      </c>
      <c r="E1193">
        <v>160</v>
      </c>
      <c r="F1193">
        <v>0</v>
      </c>
      <c r="G1193">
        <f t="shared" si="37"/>
        <v>0</v>
      </c>
    </row>
    <row r="1194" spans="1:7">
      <c r="A1194" s="1">
        <v>45492</v>
      </c>
      <c r="B1194" t="s">
        <v>56</v>
      </c>
      <c r="C1194" t="s">
        <v>40</v>
      </c>
      <c r="D1194" t="s">
        <v>42</v>
      </c>
      <c r="E1194">
        <v>160</v>
      </c>
      <c r="F1194">
        <v>0</v>
      </c>
      <c r="G1194">
        <f t="shared" si="37"/>
        <v>0</v>
      </c>
    </row>
    <row r="1195" spans="1:7">
      <c r="A1195" s="1">
        <v>45493</v>
      </c>
      <c r="B1195" t="s">
        <v>56</v>
      </c>
      <c r="C1195" t="s">
        <v>40</v>
      </c>
      <c r="D1195" t="s">
        <v>42</v>
      </c>
      <c r="E1195">
        <v>160</v>
      </c>
      <c r="F1195">
        <v>0</v>
      </c>
      <c r="G1195">
        <f t="shared" si="37"/>
        <v>0</v>
      </c>
    </row>
    <row r="1196" spans="1:7">
      <c r="A1196" s="1">
        <v>45494</v>
      </c>
      <c r="B1196" t="s">
        <v>56</v>
      </c>
      <c r="C1196" t="s">
        <v>40</v>
      </c>
      <c r="D1196" t="s">
        <v>42</v>
      </c>
      <c r="E1196">
        <v>160</v>
      </c>
      <c r="F1196">
        <v>0</v>
      </c>
      <c r="G1196">
        <f t="shared" si="37"/>
        <v>0</v>
      </c>
    </row>
    <row r="1197" spans="1:7">
      <c r="A1197" s="1">
        <v>45495</v>
      </c>
      <c r="B1197" t="s">
        <v>56</v>
      </c>
      <c r="C1197" t="s">
        <v>40</v>
      </c>
      <c r="D1197" t="s">
        <v>42</v>
      </c>
      <c r="E1197">
        <v>160</v>
      </c>
      <c r="F1197">
        <v>0</v>
      </c>
      <c r="G1197">
        <f t="shared" si="37"/>
        <v>0</v>
      </c>
    </row>
    <row r="1198" spans="1:7">
      <c r="A1198" s="1">
        <v>45496</v>
      </c>
      <c r="B1198" t="s">
        <v>56</v>
      </c>
      <c r="C1198" t="s">
        <v>40</v>
      </c>
      <c r="D1198" t="s">
        <v>42</v>
      </c>
      <c r="E1198">
        <v>160</v>
      </c>
      <c r="F1198">
        <v>7</v>
      </c>
      <c r="G1198">
        <f t="shared" si="37"/>
        <v>1120</v>
      </c>
    </row>
    <row r="1199" spans="1:7">
      <c r="A1199" s="1">
        <v>45497</v>
      </c>
      <c r="B1199" t="s">
        <v>56</v>
      </c>
      <c r="C1199" t="s">
        <v>40</v>
      </c>
      <c r="D1199" t="s">
        <v>42</v>
      </c>
      <c r="E1199">
        <v>160</v>
      </c>
      <c r="F1199">
        <v>3</v>
      </c>
      <c r="G1199">
        <f t="shared" si="37"/>
        <v>480</v>
      </c>
    </row>
    <row r="1200" spans="1:7">
      <c r="A1200" s="1">
        <v>45498</v>
      </c>
      <c r="B1200" t="s">
        <v>56</v>
      </c>
      <c r="C1200" t="s">
        <v>40</v>
      </c>
      <c r="D1200" t="s">
        <v>42</v>
      </c>
      <c r="E1200">
        <v>160</v>
      </c>
      <c r="F1200">
        <v>9</v>
      </c>
      <c r="G1200">
        <f t="shared" si="37"/>
        <v>1440</v>
      </c>
    </row>
    <row r="1201" spans="1:7">
      <c r="A1201" s="1">
        <v>45499</v>
      </c>
      <c r="B1201" t="s">
        <v>56</v>
      </c>
      <c r="C1201" t="s">
        <v>40</v>
      </c>
      <c r="D1201" t="s">
        <v>42</v>
      </c>
      <c r="E1201">
        <v>160</v>
      </c>
      <c r="F1201">
        <v>8</v>
      </c>
      <c r="G1201">
        <f t="shared" si="37"/>
        <v>1280</v>
      </c>
    </row>
    <row r="1202" spans="1:7">
      <c r="A1202" s="1">
        <v>45500</v>
      </c>
      <c r="B1202" t="s">
        <v>56</v>
      </c>
      <c r="C1202" t="s">
        <v>40</v>
      </c>
      <c r="D1202" t="s">
        <v>42</v>
      </c>
      <c r="E1202">
        <v>160</v>
      </c>
      <c r="F1202">
        <v>0</v>
      </c>
      <c r="G1202">
        <f t="shared" si="37"/>
        <v>0</v>
      </c>
    </row>
    <row r="1203" spans="1:7">
      <c r="A1203" s="1">
        <v>45501</v>
      </c>
      <c r="B1203" t="s">
        <v>56</v>
      </c>
      <c r="C1203" t="s">
        <v>40</v>
      </c>
      <c r="D1203" t="s">
        <v>42</v>
      </c>
      <c r="E1203">
        <v>160</v>
      </c>
      <c r="F1203">
        <v>0</v>
      </c>
      <c r="G1203">
        <f t="shared" si="37"/>
        <v>0</v>
      </c>
    </row>
    <row r="1204" spans="1:7">
      <c r="A1204" s="1">
        <v>45502</v>
      </c>
      <c r="B1204" t="s">
        <v>56</v>
      </c>
      <c r="C1204" t="s">
        <v>40</v>
      </c>
      <c r="D1204" t="s">
        <v>42</v>
      </c>
      <c r="E1204">
        <v>160</v>
      </c>
      <c r="F1204">
        <v>11</v>
      </c>
      <c r="G1204">
        <f t="shared" si="37"/>
        <v>1760</v>
      </c>
    </row>
    <row r="1205" spans="1:7">
      <c r="A1205" s="1">
        <v>45503</v>
      </c>
      <c r="B1205" t="s">
        <v>56</v>
      </c>
      <c r="C1205" t="s">
        <v>40</v>
      </c>
      <c r="D1205" t="s">
        <v>42</v>
      </c>
      <c r="E1205">
        <v>160</v>
      </c>
      <c r="F1205">
        <v>9</v>
      </c>
      <c r="G1205">
        <f t="shared" si="37"/>
        <v>1440</v>
      </c>
    </row>
    <row r="1206" spans="1:7">
      <c r="A1206" s="1">
        <v>45504</v>
      </c>
      <c r="B1206" t="s">
        <v>56</v>
      </c>
      <c r="C1206" t="s">
        <v>40</v>
      </c>
      <c r="D1206" t="s">
        <v>42</v>
      </c>
      <c r="E1206">
        <v>160</v>
      </c>
      <c r="F1206">
        <v>5</v>
      </c>
      <c r="G1206">
        <f t="shared" si="37"/>
        <v>800</v>
      </c>
    </row>
  </sheetData>
  <autoFilter ref="A1:G1206" xr:uid="{CFAD481D-3A75-447E-9EFF-2B573862B04D}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BD92E-2B03-44E3-AAA5-F7B75D18DCF9}">
  <dimension ref="B3:D7"/>
  <sheetViews>
    <sheetView workbookViewId="0">
      <selection activeCell="E12" sqref="E12"/>
    </sheetView>
  </sheetViews>
  <sheetFormatPr defaultRowHeight="15"/>
  <cols>
    <col min="1" max="1" width="18.7109375" bestFit="1" customWidth="1"/>
    <col min="2" max="2" width="11.5703125" bestFit="1" customWidth="1"/>
    <col min="3" max="3" width="11.5703125" customWidth="1"/>
  </cols>
  <sheetData>
    <row r="3" spans="2:4">
      <c r="C3" s="25" t="s">
        <v>39</v>
      </c>
      <c r="D3" t="s">
        <v>38</v>
      </c>
    </row>
    <row r="4" spans="2:4">
      <c r="B4" s="24">
        <f>DashBoard!G25</f>
        <v>45413</v>
      </c>
      <c r="C4">
        <f>DashBoard!I39</f>
        <v>0</v>
      </c>
      <c r="D4">
        <f>DashBoard!J39</f>
        <v>0</v>
      </c>
    </row>
    <row r="5" spans="2:4">
      <c r="B5" s="24">
        <f>DashBoard!K25</f>
        <v>45444</v>
      </c>
      <c r="C5">
        <f>DashBoard!M39</f>
        <v>0</v>
      </c>
      <c r="D5">
        <f>DashBoard!N39</f>
        <v>0</v>
      </c>
    </row>
    <row r="6" spans="2:4">
      <c r="B6" s="24">
        <f>DashBoard!O25</f>
        <v>45474</v>
      </c>
      <c r="C6">
        <f>DashBoard!Q39</f>
        <v>0</v>
      </c>
      <c r="D6">
        <f>DashBoard!R39</f>
        <v>0</v>
      </c>
    </row>
    <row r="7" spans="2:4">
      <c r="B7" s="24">
        <f>DashBoard!S25</f>
        <v>45505</v>
      </c>
      <c r="C7">
        <f>DashBoard!U39</f>
        <v>0</v>
      </c>
      <c r="D7">
        <f>DashBoard!AK22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DashBoard</vt:lpstr>
      <vt:lpstr>Monthly Data</vt:lpstr>
      <vt:lpstr>Validation</vt:lpstr>
      <vt:lpstr>Daily Data</vt:lpstr>
      <vt:lpstr>Pivrot Chat</vt:lpstr>
      <vt:lpstr>DashBoard!Print_Area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Shubham Suresh Ghadge</dc:creator>
  <cp:lastModifiedBy>Admin</cp:lastModifiedBy>
  <cp:lastPrinted>2024-09-03T13:19:41Z</cp:lastPrinted>
  <dcterms:created xsi:type="dcterms:W3CDTF">2015-06-05T18:17:20Z</dcterms:created>
  <dcterms:modified xsi:type="dcterms:W3CDTF">2026-05-16T09:18:37Z</dcterms:modified>
</cp:coreProperties>
</file>